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Widya\Desktop\CAREER\2026_Portfolio\finished project\"/>
    </mc:Choice>
  </mc:AlternateContent>
  <xr:revisionPtr revIDLastSave="0" documentId="13_ncr:1_{3AA89B7C-B254-48A3-BCC3-33E5CFCE54DD}" xr6:coauthVersionLast="47" xr6:coauthVersionMax="47" xr10:uidLastSave="{00000000-0000-0000-0000-000000000000}"/>
  <bookViews>
    <workbookView xWindow="-110" yWindow="-110" windowWidth="19420" windowHeight="10300" xr2:uid="{FD4004A2-6534-422A-8600-71B62A30E12B}"/>
  </bookViews>
  <sheets>
    <sheet name="Books_Data_Clean" sheetId="1" r:id="rId1"/>
    <sheet name="Supporting_pivot" sheetId="6" r:id="rId2"/>
    <sheet name="Dashboard" sheetId="7" r:id="rId3"/>
    <sheet name="unique" sheetId="8" r:id="rId4"/>
  </sheets>
  <definedNames>
    <definedName name="_xlnm._FilterDatabase" localSheetId="0" hidden="1">Books_Data_Clean!$A$1:$P$1048</definedName>
    <definedName name="Slicer_genre">#N/A</definedName>
    <definedName name="Slicer_Publisher">#N/A</definedName>
    <definedName name="Slicer_publishing_era">#N/A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1" i="6" l="1"/>
  <c r="D11" i="6"/>
  <c r="C1008" i="1"/>
  <c r="C297" i="1"/>
  <c r="C333" i="1"/>
  <c r="C221" i="1"/>
  <c r="C599" i="1"/>
  <c r="C1020" i="1"/>
  <c r="C154" i="1"/>
  <c r="C492" i="1"/>
  <c r="C179" i="1"/>
  <c r="C292" i="1"/>
  <c r="C871" i="1"/>
  <c r="C121" i="1"/>
  <c r="C819" i="1"/>
  <c r="C605" i="1"/>
  <c r="C665" i="1"/>
  <c r="C846" i="1"/>
  <c r="C328" i="1"/>
  <c r="C870" i="1"/>
  <c r="C238" i="1"/>
  <c r="C708" i="1"/>
  <c r="C565" i="1"/>
  <c r="C736" i="1"/>
  <c r="C913" i="1"/>
  <c r="C231" i="1"/>
  <c r="C914" i="1"/>
  <c r="C435" i="1"/>
  <c r="C139" i="1"/>
  <c r="C992" i="1"/>
  <c r="C324" i="1"/>
  <c r="C753" i="1"/>
  <c r="C104" i="1"/>
  <c r="C140" i="1"/>
  <c r="C731" i="1"/>
  <c r="C518" i="1"/>
  <c r="C1015" i="1"/>
  <c r="C298" i="1"/>
  <c r="C396" i="1"/>
  <c r="C746" i="1"/>
  <c r="C737" i="1"/>
  <c r="C660" i="1"/>
  <c r="C497" i="1"/>
  <c r="C53" i="1"/>
  <c r="C697" i="1"/>
  <c r="C1025" i="1"/>
  <c r="C725" i="1"/>
  <c r="C949" i="1"/>
  <c r="C765" i="1"/>
  <c r="C251" i="1"/>
  <c r="C671" i="1"/>
  <c r="C849" i="1"/>
  <c r="C82" i="1"/>
  <c r="C635" i="1"/>
  <c r="C1007" i="1"/>
  <c r="C638" i="1"/>
  <c r="C530" i="1"/>
  <c r="C845" i="1"/>
  <c r="C975" i="1"/>
  <c r="C152" i="1"/>
  <c r="C896" i="1"/>
  <c r="C715" i="1"/>
  <c r="C1011" i="1"/>
  <c r="C567" i="1"/>
  <c r="C513" i="1"/>
  <c r="C499" i="1"/>
  <c r="C713" i="1"/>
  <c r="C850" i="1"/>
  <c r="C242" i="1"/>
  <c r="C612" i="1"/>
  <c r="C81" i="1"/>
  <c r="C124" i="1"/>
  <c r="C105" i="1"/>
  <c r="C964" i="1"/>
  <c r="C155" i="1"/>
  <c r="C809" i="1"/>
  <c r="C133" i="1"/>
  <c r="C848" i="1"/>
  <c r="C915" i="1"/>
  <c r="C201" i="1"/>
  <c r="C380" i="1"/>
  <c r="C916" i="1"/>
  <c r="C569" i="1"/>
  <c r="C300" i="1"/>
  <c r="C872" i="1"/>
  <c r="C474" i="1"/>
  <c r="C793" i="1"/>
  <c r="C62" i="1"/>
  <c r="C202" i="1"/>
  <c r="C670" i="1"/>
  <c r="C540" i="1"/>
  <c r="C738" i="1"/>
  <c r="C917" i="1"/>
  <c r="C141" i="1"/>
  <c r="C162" i="1"/>
  <c r="C164" i="1"/>
  <c r="C523" i="1"/>
  <c r="C997" i="1"/>
  <c r="C778" i="1"/>
  <c r="C897" i="1"/>
  <c r="C142" i="1"/>
  <c r="C973" i="1"/>
  <c r="C828" i="1"/>
  <c r="C900" i="1"/>
  <c r="C536" i="1"/>
  <c r="C805" i="1"/>
  <c r="C440" i="1"/>
  <c r="C491" i="1"/>
  <c r="C698" i="1"/>
  <c r="C122" i="1"/>
  <c r="C581" i="1"/>
  <c r="C760" i="1"/>
  <c r="C180" i="1"/>
  <c r="C21" i="1"/>
  <c r="C312" i="1"/>
  <c r="C271" i="1"/>
  <c r="C171" i="1"/>
  <c r="C339" i="1"/>
  <c r="C334" i="1"/>
  <c r="C311" i="1"/>
  <c r="C143" i="1"/>
  <c r="C535" i="1"/>
  <c r="C528" i="1"/>
  <c r="C30" i="1"/>
  <c r="C28" i="1"/>
  <c r="C54" i="1"/>
  <c r="C529" i="1"/>
  <c r="C75" i="1"/>
  <c r="C699" i="1"/>
  <c r="C539" i="1"/>
  <c r="C457" i="1"/>
  <c r="C353" i="1"/>
  <c r="C1006" i="1"/>
  <c r="C555" i="1"/>
  <c r="C732" i="1"/>
  <c r="C873" i="1"/>
  <c r="C136" i="1"/>
  <c r="C363" i="1"/>
  <c r="C918" i="1"/>
  <c r="C14" i="1"/>
  <c r="C11" i="1"/>
  <c r="C161" i="1"/>
  <c r="C397" i="1"/>
  <c r="C919" i="1"/>
  <c r="C969" i="1"/>
  <c r="C168" i="1"/>
  <c r="C307" i="1"/>
  <c r="C646" i="1"/>
  <c r="C723" i="1"/>
  <c r="C606" i="1"/>
  <c r="C963" i="1"/>
  <c r="C739" i="1"/>
  <c r="C822" i="1"/>
  <c r="C695" i="1"/>
  <c r="C740" i="1"/>
  <c r="C219" i="1"/>
  <c r="C521" i="1"/>
  <c r="C452" i="1"/>
  <c r="C76" i="1"/>
  <c r="C920" i="1"/>
  <c r="C592" i="1"/>
  <c r="C700" i="1"/>
  <c r="C272" i="1"/>
  <c r="C831" i="1"/>
  <c r="C45" i="1"/>
  <c r="C42" i="1"/>
  <c r="C685" i="1"/>
  <c r="C544" i="1"/>
  <c r="C787" i="1"/>
  <c r="C1024" i="1"/>
  <c r="C527" i="1"/>
  <c r="C921" i="1"/>
  <c r="C512" i="1"/>
  <c r="C810" i="1"/>
  <c r="C545" i="1"/>
  <c r="C893" i="1"/>
  <c r="C779" i="1"/>
  <c r="C369" i="1"/>
  <c r="C552" i="1"/>
  <c r="C728" i="1"/>
  <c r="C232" i="1"/>
  <c r="C668" i="1"/>
  <c r="C1040" i="1"/>
  <c r="C64" i="1"/>
  <c r="C741" i="1"/>
  <c r="C1034" i="1"/>
  <c r="C255" i="1"/>
  <c r="C996" i="1"/>
  <c r="C833" i="1"/>
  <c r="C321" i="1"/>
  <c r="C144" i="1"/>
  <c r="C950" i="1"/>
  <c r="C433" i="1"/>
  <c r="C86" i="1"/>
  <c r="C93" i="1"/>
  <c r="C199" i="1"/>
  <c r="C516" i="1"/>
  <c r="C1038" i="1"/>
  <c r="C953" i="1"/>
  <c r="C216" i="1"/>
  <c r="C23" i="1"/>
  <c r="C17" i="1"/>
  <c r="C802" i="1"/>
  <c r="C365" i="1"/>
  <c r="C830" i="1"/>
  <c r="C922" i="1"/>
  <c r="C607" i="1"/>
  <c r="C688" i="1"/>
  <c r="C354" i="1"/>
  <c r="C169" i="1"/>
  <c r="C256" i="1"/>
  <c r="C447" i="1"/>
  <c r="C882" i="1"/>
  <c r="C308" i="1"/>
  <c r="C145" i="1"/>
  <c r="C475" i="1"/>
  <c r="C441" i="1"/>
  <c r="C243" i="1"/>
  <c r="C877" i="1"/>
  <c r="C119" i="1"/>
  <c r="C426" i="1"/>
  <c r="C983" i="1"/>
  <c r="C549" i="1"/>
  <c r="C602" i="1"/>
  <c r="C682" i="1"/>
  <c r="C820" i="1"/>
  <c r="C757" i="1"/>
  <c r="C901" i="1"/>
  <c r="C993" i="1"/>
  <c r="C1003" i="1"/>
  <c r="C788" i="1"/>
  <c r="C658" i="1"/>
  <c r="C734" i="1"/>
  <c r="C604" i="1"/>
  <c r="C229" i="1"/>
  <c r="C60" i="1"/>
  <c r="C1045" i="1"/>
  <c r="C283" i="1"/>
  <c r="C795" i="1"/>
  <c r="C1041" i="1"/>
  <c r="C672" i="1"/>
  <c r="C774" i="1"/>
  <c r="C407" i="1"/>
  <c r="C1019" i="1"/>
  <c r="C855" i="1"/>
  <c r="C97" i="1"/>
  <c r="C886" i="1"/>
  <c r="C566" i="1"/>
  <c r="C761" i="1"/>
  <c r="C718" i="1"/>
  <c r="C998" i="1"/>
  <c r="C895" i="1"/>
  <c r="C557" i="1"/>
  <c r="C358" i="1"/>
  <c r="C360" i="1"/>
  <c r="C714" i="1"/>
  <c r="C476" i="1"/>
  <c r="C383" i="1"/>
  <c r="C253" i="1"/>
  <c r="C923" i="1"/>
  <c r="C747" i="1"/>
  <c r="C867" i="1"/>
  <c r="C293" i="1"/>
  <c r="C248" i="1"/>
  <c r="C225" i="1"/>
  <c r="C343" i="1"/>
  <c r="C534" i="1"/>
  <c r="C889" i="1"/>
  <c r="C727" i="1"/>
  <c r="C1042" i="1"/>
  <c r="C762" i="1"/>
  <c r="C945" i="1"/>
  <c r="C207" i="1"/>
  <c r="C117" i="1"/>
  <c r="C19" i="1"/>
  <c r="C99" i="1"/>
  <c r="C680" i="1"/>
  <c r="C6" i="1"/>
  <c r="C800" i="1"/>
  <c r="C763" i="1"/>
  <c r="C189" i="1"/>
  <c r="C350" i="1"/>
  <c r="C236" i="1"/>
  <c r="C952" i="1"/>
  <c r="C347" i="1"/>
  <c r="C576" i="1"/>
  <c r="C742" i="1"/>
  <c r="C548" i="1"/>
  <c r="C959" i="1"/>
  <c r="C906" i="1"/>
  <c r="C640" i="1"/>
  <c r="C584" i="1"/>
  <c r="C448" i="1"/>
  <c r="C674" i="1"/>
  <c r="C254" i="1"/>
  <c r="C590" i="1"/>
  <c r="C874" i="1"/>
  <c r="C368" i="1"/>
  <c r="C500" i="1"/>
  <c r="C954" i="1"/>
  <c r="C683" i="1"/>
  <c r="C798" i="1"/>
  <c r="C218" i="1"/>
  <c r="C758" i="1"/>
  <c r="C1044" i="1"/>
  <c r="C387" i="1"/>
  <c r="C372" i="1"/>
  <c r="C878" i="1"/>
  <c r="C94" i="1"/>
  <c r="C799" i="1"/>
  <c r="C315" i="1"/>
  <c r="C384" i="1"/>
  <c r="C36" i="1"/>
  <c r="C645" i="1"/>
  <c r="C854" i="1"/>
  <c r="C1014" i="1"/>
  <c r="C775" i="1"/>
  <c r="C451" i="1"/>
  <c r="C174" i="1"/>
  <c r="C1043" i="1"/>
  <c r="C641" i="1"/>
  <c r="C269" i="1"/>
  <c r="C791" i="1"/>
  <c r="C110" i="1"/>
  <c r="C77" i="1"/>
  <c r="C405" i="1"/>
  <c r="C106" i="1"/>
  <c r="C866" i="1"/>
  <c r="C233" i="1"/>
  <c r="C948" i="1"/>
  <c r="C782" i="1"/>
  <c r="C750" i="1"/>
  <c r="C65" i="1"/>
  <c r="C721" i="1"/>
  <c r="C241" i="1"/>
  <c r="C146" i="1"/>
  <c r="C18" i="1"/>
  <c r="C625" i="1"/>
  <c r="C965" i="1"/>
  <c r="C691" i="1"/>
  <c r="C325" i="1"/>
  <c r="C706" i="1"/>
  <c r="C970" i="1"/>
  <c r="C1009" i="1"/>
  <c r="C578" i="1"/>
  <c r="C756" i="1"/>
  <c r="C582" i="1"/>
  <c r="C661" i="1"/>
  <c r="C804" i="1"/>
  <c r="C37" i="1"/>
  <c r="C650" i="1"/>
  <c r="C1035" i="1"/>
  <c r="C194" i="1"/>
  <c r="C373" i="1"/>
  <c r="C460" i="1"/>
  <c r="C656" i="1"/>
  <c r="C352" i="1"/>
  <c r="C984" i="1"/>
  <c r="C471" i="1"/>
  <c r="C639" i="1"/>
  <c r="C58" i="1"/>
  <c r="C46" i="1"/>
  <c r="C258" i="1"/>
  <c r="C813" i="1"/>
  <c r="C317" i="1"/>
  <c r="C696" i="1"/>
  <c r="C71" i="1"/>
  <c r="C967" i="1"/>
  <c r="C538" i="1"/>
  <c r="C344" i="1"/>
  <c r="C751" i="1"/>
  <c r="C477" i="1"/>
  <c r="C823" i="1"/>
  <c r="C515" i="1"/>
  <c r="C924" i="1"/>
  <c r="C411" i="1"/>
  <c r="C357" i="1"/>
  <c r="C487" i="1"/>
  <c r="C943" i="1"/>
  <c r="C72" i="1"/>
  <c r="C484" i="1"/>
  <c r="C277" i="1"/>
  <c r="C51" i="1"/>
  <c r="C667" i="1"/>
  <c r="C444" i="1"/>
  <c r="C574" i="1"/>
  <c r="C710" i="1"/>
  <c r="C436" i="1"/>
  <c r="C364" i="1"/>
  <c r="C454" i="1"/>
  <c r="C268" i="1"/>
  <c r="C653" i="1"/>
  <c r="C815" i="1"/>
  <c r="C266" i="1"/>
  <c r="C633" i="1"/>
  <c r="C386" i="1"/>
  <c r="C591" i="1"/>
  <c r="C868" i="1"/>
  <c r="C382" i="1"/>
  <c r="C942" i="1"/>
  <c r="C786" i="1"/>
  <c r="C367" i="1"/>
  <c r="C589" i="1"/>
  <c r="C519" i="1"/>
  <c r="C705" i="1"/>
  <c r="C25" i="1"/>
  <c r="C222" i="1"/>
  <c r="C925" i="1"/>
  <c r="C613" i="1"/>
  <c r="C388" i="1"/>
  <c r="C962" i="1"/>
  <c r="C816" i="1"/>
  <c r="C834" i="1"/>
  <c r="C406" i="1"/>
  <c r="C175" i="1"/>
  <c r="C902" i="1"/>
  <c r="C926" i="1"/>
  <c r="C134" i="1"/>
  <c r="C903" i="1"/>
  <c r="C814" i="1"/>
  <c r="C654" i="1"/>
  <c r="C596" i="1"/>
  <c r="C394" i="1"/>
  <c r="C839" i="1"/>
  <c r="C314" i="1"/>
  <c r="C181" i="1"/>
  <c r="C501" i="1"/>
  <c r="C379" i="1"/>
  <c r="C862" i="1"/>
  <c r="C885" i="1"/>
  <c r="C927" i="1"/>
  <c r="C908" i="1"/>
  <c r="C994" i="1"/>
  <c r="C107" i="1"/>
  <c r="C543" i="1"/>
  <c r="C322" i="1"/>
  <c r="C785" i="1"/>
  <c r="C1021" i="1"/>
  <c r="C205" i="1"/>
  <c r="C227" i="1"/>
  <c r="C478" i="1"/>
  <c r="C769" i="1"/>
  <c r="C689" i="1"/>
  <c r="C126" i="1"/>
  <c r="C978" i="1"/>
  <c r="C514" i="1"/>
  <c r="C692" i="1"/>
  <c r="C928" i="1"/>
  <c r="C772" i="1"/>
  <c r="C840" i="1"/>
  <c r="C302" i="1"/>
  <c r="C421" i="1"/>
  <c r="C801" i="1"/>
  <c r="C955" i="1"/>
  <c r="C131" i="1"/>
  <c r="C391" i="1"/>
  <c r="C712" i="1"/>
  <c r="C412" i="1"/>
  <c r="C276" i="1"/>
  <c r="C526" i="1"/>
  <c r="C541" i="1"/>
  <c r="C624" i="1"/>
  <c r="C348" i="1"/>
  <c r="C669" i="1"/>
  <c r="C128" i="1"/>
  <c r="C909" i="1"/>
  <c r="C1048" i="1"/>
  <c r="C163" i="1"/>
  <c r="C156" i="1"/>
  <c r="C794" i="1"/>
  <c r="C687" i="1"/>
  <c r="C96" i="1"/>
  <c r="C318" i="1"/>
  <c r="C570" i="1"/>
  <c r="C89" i="1"/>
  <c r="C244" i="1"/>
  <c r="C349" i="1"/>
  <c r="C990" i="1"/>
  <c r="C520" i="1"/>
  <c r="C851" i="1"/>
  <c r="C59" i="1"/>
  <c r="C568" i="1"/>
  <c r="C80" i="1"/>
  <c r="C879" i="1"/>
  <c r="C15" i="1"/>
  <c r="C240" i="1"/>
  <c r="C234" i="1"/>
  <c r="C824" i="1"/>
  <c r="C637" i="1"/>
  <c r="C115" i="1"/>
  <c r="C137" i="1"/>
  <c r="C285" i="1"/>
  <c r="C102" i="1"/>
  <c r="C626" i="1"/>
  <c r="C461" i="1"/>
  <c r="C1027" i="1"/>
  <c r="C863" i="1"/>
  <c r="C502" i="1"/>
  <c r="C716" i="1"/>
  <c r="C890" i="1"/>
  <c r="C223" i="1"/>
  <c r="C305" i="1"/>
  <c r="C245" i="1"/>
  <c r="C427" i="1"/>
  <c r="C717" i="1"/>
  <c r="C1017" i="1"/>
  <c r="C73" i="1"/>
  <c r="C572" i="1"/>
  <c r="C888" i="1"/>
  <c r="C108" i="1"/>
  <c r="C771" i="1"/>
  <c r="C470" i="1"/>
  <c r="C479" i="1"/>
  <c r="C944" i="1"/>
  <c r="C31" i="1"/>
  <c r="C865" i="1"/>
  <c r="C686" i="1"/>
  <c r="C503" i="1"/>
  <c r="C12" i="1"/>
  <c r="C663" i="1"/>
  <c r="C709" i="1"/>
  <c r="C264" i="1"/>
  <c r="C587" i="1"/>
  <c r="C904" i="1"/>
  <c r="C1032" i="1"/>
  <c r="C832" i="1"/>
  <c r="C449" i="1"/>
  <c r="C413" i="1"/>
  <c r="C395" i="1"/>
  <c r="C957" i="1"/>
  <c r="C561" i="1"/>
  <c r="C980" i="1"/>
  <c r="C273" i="1"/>
  <c r="C1037" i="1"/>
  <c r="C595" i="1"/>
  <c r="C946" i="1"/>
  <c r="C195" i="1"/>
  <c r="C98" i="1"/>
  <c r="C210" i="1"/>
  <c r="C403" i="1"/>
  <c r="C355" i="1"/>
  <c r="C583" i="1"/>
  <c r="C340" i="1"/>
  <c r="C26" i="1"/>
  <c r="C1023" i="1"/>
  <c r="C158" i="1"/>
  <c r="C608" i="1"/>
  <c r="C679" i="1"/>
  <c r="C991" i="1"/>
  <c r="C985" i="1"/>
  <c r="C678" i="1"/>
  <c r="C770" i="1"/>
  <c r="C504" i="1"/>
  <c r="C764" i="1"/>
  <c r="C1033" i="1"/>
  <c r="C961" i="1"/>
  <c r="C525" i="1"/>
  <c r="C239" i="1"/>
  <c r="C743" i="1"/>
  <c r="C601" i="1"/>
  <c r="C434" i="1"/>
  <c r="C480" i="1"/>
  <c r="C68" i="1"/>
  <c r="C398" i="1"/>
  <c r="C252" i="1"/>
  <c r="C295" i="1"/>
  <c r="C123" i="1"/>
  <c r="C446" i="1"/>
  <c r="C330" i="1"/>
  <c r="C676" i="1"/>
  <c r="C182" i="1"/>
  <c r="C408" i="1"/>
  <c r="C597" i="1"/>
  <c r="C303" i="1"/>
  <c r="C263" i="1"/>
  <c r="C424" i="1"/>
  <c r="C33" i="1"/>
  <c r="C701" i="1"/>
  <c r="C615" i="1"/>
  <c r="C835" i="1"/>
  <c r="C10" i="1"/>
  <c r="C190" i="1"/>
  <c r="C83" i="1"/>
  <c r="C929" i="1"/>
  <c r="C176" i="1"/>
  <c r="C159" i="1"/>
  <c r="C684" i="1"/>
  <c r="C462" i="1"/>
  <c r="C44" i="1"/>
  <c r="C493" i="1"/>
  <c r="C183" i="1"/>
  <c r="C472" i="1"/>
  <c r="C423" i="1"/>
  <c r="C707" i="1"/>
  <c r="C968" i="1"/>
  <c r="C393" i="1"/>
  <c r="C187" i="1"/>
  <c r="C278" i="1"/>
  <c r="C332" i="1"/>
  <c r="C930" i="1"/>
  <c r="C797" i="1"/>
  <c r="C69" i="1"/>
  <c r="C729" i="1"/>
  <c r="C165" i="1"/>
  <c r="C78" i="1"/>
  <c r="C537" i="1"/>
  <c r="C884" i="1"/>
  <c r="C558" i="1"/>
  <c r="C522" i="1"/>
  <c r="C481" i="1"/>
  <c r="C211" i="1"/>
  <c r="C414" i="1"/>
  <c r="C719" i="1"/>
  <c r="C170" i="1"/>
  <c r="C693" i="1"/>
  <c r="C531" i="1"/>
  <c r="C910" i="1"/>
  <c r="C585" i="1"/>
  <c r="C634" i="1"/>
  <c r="C1010" i="1"/>
  <c r="C806" i="1"/>
  <c r="C517" i="1"/>
  <c r="C267" i="1"/>
  <c r="C627" i="1"/>
  <c r="C281" i="1"/>
  <c r="C366" i="1"/>
  <c r="C428" i="1"/>
  <c r="C204" i="1"/>
  <c r="C85" i="1"/>
  <c r="C442" i="1"/>
  <c r="C974" i="1"/>
  <c r="C876" i="1"/>
  <c r="C279" i="1"/>
  <c r="C217" i="1"/>
  <c r="C275" i="1"/>
  <c r="C891" i="1"/>
  <c r="C230" i="1"/>
  <c r="C362" i="1"/>
  <c r="C677" i="1"/>
  <c r="C829" i="1"/>
  <c r="C262" i="1"/>
  <c r="C415" i="1"/>
  <c r="C931" i="1"/>
  <c r="C329" i="1"/>
  <c r="C289" i="1"/>
  <c r="C755" i="1"/>
  <c r="C979" i="1"/>
  <c r="C261" i="1"/>
  <c r="C995" i="1"/>
  <c r="C853" i="1"/>
  <c r="C35" i="1"/>
  <c r="C603" i="1"/>
  <c r="C859" i="1"/>
  <c r="C38" i="1"/>
  <c r="C429" i="1"/>
  <c r="C644" i="1"/>
  <c r="C651" i="1"/>
  <c r="C1018" i="1"/>
  <c r="C331" i="1"/>
  <c r="C116" i="1"/>
  <c r="C109" i="1"/>
  <c r="C147" i="1"/>
  <c r="C50" i="1"/>
  <c r="C84" i="1"/>
  <c r="C326" i="1"/>
  <c r="C336" i="1"/>
  <c r="C777" i="1"/>
  <c r="C490" i="1"/>
  <c r="C932" i="1"/>
  <c r="C445" i="1"/>
  <c r="C598" i="1"/>
  <c r="C1030" i="1"/>
  <c r="C560" i="1"/>
  <c r="C759" i="1"/>
  <c r="C392" i="1"/>
  <c r="C875" i="1"/>
  <c r="C16" i="1"/>
  <c r="C47" i="1"/>
  <c r="C294" i="1"/>
  <c r="C455" i="1"/>
  <c r="C611" i="1"/>
  <c r="C542" i="1"/>
  <c r="C250" i="1"/>
  <c r="C361" i="1"/>
  <c r="C113" i="1"/>
  <c r="C628" i="1"/>
  <c r="C416" i="1"/>
  <c r="C579" i="1"/>
  <c r="C463" i="1"/>
  <c r="C410" i="1"/>
  <c r="C485" i="1"/>
  <c r="C722" i="1"/>
  <c r="C420" i="1"/>
  <c r="C629" i="1"/>
  <c r="C291" i="1"/>
  <c r="C129" i="1"/>
  <c r="C177" i="1"/>
  <c r="C857" i="1"/>
  <c r="C208" i="1"/>
  <c r="C306" i="1"/>
  <c r="C856" i="1"/>
  <c r="C95" i="1"/>
  <c r="C458" i="1"/>
  <c r="C494" i="1"/>
  <c r="C618" i="1"/>
  <c r="C505" i="1"/>
  <c r="C852" i="1"/>
  <c r="C356" i="1"/>
  <c r="C951" i="1"/>
  <c r="C836" i="1"/>
  <c r="C381" i="1"/>
  <c r="C580" i="1"/>
  <c r="C573" i="1"/>
  <c r="C768" i="1"/>
  <c r="C883" i="1"/>
  <c r="C869" i="1"/>
  <c r="C213" i="1"/>
  <c r="C425" i="1"/>
  <c r="C827" i="1"/>
  <c r="C309" i="1"/>
  <c r="C402" i="1"/>
  <c r="C933" i="1"/>
  <c r="C296" i="1"/>
  <c r="C404" i="1"/>
  <c r="C880" i="1"/>
  <c r="C56" i="1"/>
  <c r="C288" i="1"/>
  <c r="C417" i="1"/>
  <c r="C274" i="1"/>
  <c r="C808" i="1"/>
  <c r="C341" i="1"/>
  <c r="C265" i="1"/>
  <c r="C648" i="1"/>
  <c r="C588" i="1"/>
  <c r="C235" i="1"/>
  <c r="C196" i="1"/>
  <c r="C623" i="1"/>
  <c r="C837" i="1"/>
  <c r="C127" i="1"/>
  <c r="C1022" i="1"/>
  <c r="C554" i="1"/>
  <c r="C338" i="1"/>
  <c r="C203" i="1"/>
  <c r="C450" i="1"/>
  <c r="C575" i="1"/>
  <c r="C586" i="1"/>
  <c r="C335" i="1"/>
  <c r="C811" i="1"/>
  <c r="C630" i="1"/>
  <c r="C642" i="1"/>
  <c r="C374" i="1"/>
  <c r="C947" i="1"/>
  <c r="C1005" i="1"/>
  <c r="C167" i="1"/>
  <c r="C7" i="1"/>
  <c r="C702" i="1"/>
  <c r="C439" i="1"/>
  <c r="C532" i="1"/>
  <c r="C999" i="1"/>
  <c r="C437" i="1"/>
  <c r="C506" i="1"/>
  <c r="C88" i="1"/>
  <c r="C649" i="1"/>
  <c r="C464" i="1"/>
  <c r="C319" i="1"/>
  <c r="C3" i="1"/>
  <c r="C125" i="1"/>
  <c r="C881" i="1"/>
  <c r="C577" i="1"/>
  <c r="C459" i="1"/>
  <c r="C41" i="1"/>
  <c r="C237" i="1"/>
  <c r="C912" i="1"/>
  <c r="C151" i="1"/>
  <c r="C193" i="1"/>
  <c r="C224" i="1"/>
  <c r="C166" i="1"/>
  <c r="C149" i="1"/>
  <c r="C191" i="1"/>
  <c r="C63" i="1"/>
  <c r="C260" i="1"/>
  <c r="C783" i="1"/>
  <c r="C39" i="1"/>
  <c r="C619" i="1"/>
  <c r="C977" i="1"/>
  <c r="C284" i="1"/>
  <c r="C858" i="1"/>
  <c r="C982" i="1"/>
  <c r="C27" i="1"/>
  <c r="C812" i="1"/>
  <c r="C9" i="1"/>
  <c r="C246" i="1"/>
  <c r="C1028" i="1"/>
  <c r="C972" i="1"/>
  <c r="C666" i="1"/>
  <c r="C375" i="1"/>
  <c r="C986" i="1"/>
  <c r="C52" i="1"/>
  <c r="C934" i="1"/>
  <c r="C465" i="1"/>
  <c r="C792" i="1"/>
  <c r="C987" i="1"/>
  <c r="C988" i="1"/>
  <c r="C657" i="1"/>
  <c r="C563" i="1"/>
  <c r="C486" i="1"/>
  <c r="C935" i="1"/>
  <c r="C249" i="1"/>
  <c r="C694" i="1"/>
  <c r="C310" i="1"/>
  <c r="C399" i="1"/>
  <c r="C1047" i="1"/>
  <c r="C673" i="1"/>
  <c r="C844" i="1"/>
  <c r="C784" i="1"/>
  <c r="C620" i="1"/>
  <c r="C825" i="1"/>
  <c r="C936" i="1"/>
  <c r="C571" i="1"/>
  <c r="C466" i="1"/>
  <c r="C304" i="1"/>
  <c r="C132" i="1"/>
  <c r="C826" i="1"/>
  <c r="C971" i="1"/>
  <c r="C989" i="1"/>
  <c r="C172" i="1"/>
  <c r="C198" i="1"/>
  <c r="C4" i="1"/>
  <c r="C647" i="1"/>
  <c r="C841" i="1"/>
  <c r="C453" i="1"/>
  <c r="C430" i="1"/>
  <c r="C418" i="1"/>
  <c r="C898" i="1"/>
  <c r="C401" i="1"/>
  <c r="C57" i="1"/>
  <c r="C422" i="1"/>
  <c r="C290" i="1"/>
  <c r="C197" i="1"/>
  <c r="C220" i="1"/>
  <c r="C43" i="1"/>
  <c r="C507" i="1"/>
  <c r="C178" i="1"/>
  <c r="C419" i="1"/>
  <c r="C192" i="1"/>
  <c r="C173" i="1"/>
  <c r="C287" i="1"/>
  <c r="C467" i="1"/>
  <c r="C456" i="1"/>
  <c r="C664" i="1"/>
  <c r="C280" i="1"/>
  <c r="C887" i="1"/>
  <c r="C495" i="1"/>
  <c r="C228" i="1"/>
  <c r="C546" i="1"/>
  <c r="C524" i="1"/>
  <c r="C488" i="1"/>
  <c r="C842" i="1"/>
  <c r="C662" i="1"/>
  <c r="C593" i="1"/>
  <c r="C508" i="1"/>
  <c r="C659" i="1"/>
  <c r="C160" i="1"/>
  <c r="C13" i="1"/>
  <c r="C817" i="1"/>
  <c r="C111" i="1"/>
  <c r="C1016" i="1"/>
  <c r="C744" i="1"/>
  <c r="C282" i="1"/>
  <c r="C821" i="1"/>
  <c r="C616" i="1"/>
  <c r="C214" i="1"/>
  <c r="C1036" i="1"/>
  <c r="C748" i="1"/>
  <c r="C432" i="1"/>
  <c r="C937" i="1"/>
  <c r="C621" i="1"/>
  <c r="C559" i="1"/>
  <c r="C482" i="1"/>
  <c r="C489" i="1"/>
  <c r="C431" i="1"/>
  <c r="C617" i="1"/>
  <c r="C114" i="1"/>
  <c r="C564" i="1"/>
  <c r="C860" i="1"/>
  <c r="C390" i="1"/>
  <c r="C1046" i="1"/>
  <c r="C905" i="1"/>
  <c r="C550" i="1"/>
  <c r="C118" i="1"/>
  <c r="C562" i="1"/>
  <c r="C720" i="1"/>
  <c r="C547" i="1"/>
  <c r="C320" i="1"/>
  <c r="C34" i="1"/>
  <c r="C150" i="1"/>
  <c r="C1031" i="1"/>
  <c r="C1004" i="1"/>
  <c r="C847" i="1"/>
  <c r="C247" i="1"/>
  <c r="C91" i="1"/>
  <c r="C468" i="1"/>
  <c r="C843" i="1"/>
  <c r="C892" i="1"/>
  <c r="C749" i="1"/>
  <c r="C313" i="1"/>
  <c r="C79" i="1"/>
  <c r="C103" i="1"/>
  <c r="C342" i="1"/>
  <c r="C643" i="1"/>
  <c r="C745" i="1"/>
  <c r="C92" i="1"/>
  <c r="C61" i="1"/>
  <c r="C8" i="1"/>
  <c r="C215" i="1"/>
  <c r="C675" i="1"/>
  <c r="C138" i="1"/>
  <c r="C359" i="1"/>
  <c r="C130" i="1"/>
  <c r="C135" i="1"/>
  <c r="C781" i="1"/>
  <c r="C473" i="1"/>
  <c r="C1026" i="1"/>
  <c r="C864" i="1"/>
  <c r="C376" i="1"/>
  <c r="C345" i="1"/>
  <c r="C5" i="1"/>
  <c r="C631" i="1"/>
  <c r="C153" i="1"/>
  <c r="C286" i="1"/>
  <c r="C469" i="1"/>
  <c r="C976" i="1"/>
  <c r="C67" i="1"/>
  <c r="C40" i="1"/>
  <c r="C377" i="1"/>
  <c r="C200" i="1"/>
  <c r="C389" i="1"/>
  <c r="C636" i="1"/>
  <c r="C553" i="1"/>
  <c r="C766" i="1"/>
  <c r="C938" i="1"/>
  <c r="C323" i="1"/>
  <c r="C270" i="1"/>
  <c r="C301" i="1"/>
  <c r="C956" i="1"/>
  <c r="C299" i="1"/>
  <c r="C316" i="1"/>
  <c r="C681" i="1"/>
  <c r="C939" i="1"/>
  <c r="C337" i="1"/>
  <c r="C789" i="1"/>
  <c r="C600" i="1"/>
  <c r="C1000" i="1"/>
  <c r="C496" i="1"/>
  <c r="C24" i="1"/>
  <c r="C780" i="1"/>
  <c r="C752" i="1"/>
  <c r="C861" i="1"/>
  <c r="C259" i="1"/>
  <c r="C351" i="1"/>
  <c r="C773" i="1"/>
  <c r="C899" i="1"/>
  <c r="C378" i="1"/>
  <c r="C726" i="1"/>
  <c r="C70" i="1"/>
  <c r="C724" i="1"/>
  <c r="C556" i="1"/>
  <c r="C20" i="1"/>
  <c r="C730" i="1"/>
  <c r="C1029" i="1"/>
  <c r="C907" i="1"/>
  <c r="C185" i="1"/>
  <c r="C610" i="1"/>
  <c r="C370" i="1"/>
  <c r="C838" i="1"/>
  <c r="C911" i="1"/>
  <c r="C803" i="1"/>
  <c r="C958" i="1"/>
  <c r="C776" i="1"/>
  <c r="C652" i="1"/>
  <c r="C966" i="1"/>
  <c r="C483" i="1"/>
  <c r="C48" i="1"/>
  <c r="C212" i="1"/>
  <c r="C400" i="1"/>
  <c r="C981" i="1"/>
  <c r="C790" i="1"/>
  <c r="C49" i="1"/>
  <c r="C186" i="1"/>
  <c r="C690" i="1"/>
  <c r="C551" i="1"/>
  <c r="C188" i="1"/>
  <c r="C509" i="1"/>
  <c r="C371" i="1"/>
  <c r="C2" i="1"/>
  <c r="C112" i="1"/>
  <c r="C960" i="1"/>
  <c r="C55" i="1"/>
  <c r="C632" i="1"/>
  <c r="C29" i="1"/>
  <c r="C74" i="1"/>
  <c r="C711" i="1"/>
  <c r="C609" i="1"/>
  <c r="C533" i="1"/>
  <c r="C327" i="1"/>
  <c r="C443" i="1"/>
  <c r="C209" i="1"/>
  <c r="C894" i="1"/>
  <c r="C614" i="1"/>
  <c r="C32" i="1"/>
  <c r="C101" i="1"/>
  <c r="C100" i="1"/>
  <c r="C703" i="1"/>
  <c r="C767" i="1"/>
  <c r="C257" i="1"/>
  <c r="C409" i="1"/>
  <c r="C184" i="1"/>
  <c r="C754" i="1"/>
  <c r="C1002" i="1"/>
  <c r="C1039" i="1"/>
  <c r="C733" i="1"/>
  <c r="C510" i="1"/>
  <c r="C1013" i="1"/>
  <c r="C498" i="1"/>
  <c r="C940" i="1"/>
  <c r="C66" i="1"/>
  <c r="C226" i="1"/>
  <c r="C157" i="1"/>
  <c r="C346" i="1"/>
  <c r="C385" i="1"/>
  <c r="C818" i="1"/>
  <c r="C796" i="1"/>
  <c r="C1001" i="1"/>
  <c r="C655" i="1"/>
  <c r="C22" i="1"/>
  <c r="C87" i="1"/>
  <c r="C148" i="1"/>
  <c r="C941" i="1"/>
  <c r="C90" i="1"/>
  <c r="C1012" i="1"/>
  <c r="C704" i="1"/>
  <c r="C807" i="1"/>
  <c r="C438" i="1"/>
  <c r="C735" i="1"/>
  <c r="C511" i="1"/>
  <c r="C120" i="1"/>
  <c r="C206" i="1"/>
  <c r="C594" i="1"/>
  <c r="C622" i="1"/>
</calcChain>
</file>

<file path=xl/sharedStrings.xml><?xml version="1.0" encoding="utf-8"?>
<sst xmlns="http://schemas.openxmlformats.org/spreadsheetml/2006/main" count="6362" uniqueCount="1833">
  <si>
    <t>index</t>
  </si>
  <si>
    <t>Publishing Year</t>
  </si>
  <si>
    <t>Book Name</t>
  </si>
  <si>
    <t>Author</t>
  </si>
  <si>
    <t>language_code</t>
  </si>
  <si>
    <t>Author_Rating</t>
  </si>
  <si>
    <t>Book_average_rating</t>
  </si>
  <si>
    <t>Book_ratings_count</t>
  </si>
  <si>
    <t>genre</t>
  </si>
  <si>
    <t>gross sales</t>
  </si>
  <si>
    <t>publisher revenue</t>
  </si>
  <si>
    <t>sale price</t>
  </si>
  <si>
    <t>sales rank</t>
  </si>
  <si>
    <t xml:space="preserve">Publisher </t>
  </si>
  <si>
    <t>units sold</t>
  </si>
  <si>
    <t>Beowulf</t>
  </si>
  <si>
    <t>Unknown, Seamus Heaney</t>
  </si>
  <si>
    <t>en-US</t>
  </si>
  <si>
    <t>Novice</t>
  </si>
  <si>
    <t>genre fiction</t>
  </si>
  <si>
    <t>HarperCollins Publishers</t>
  </si>
  <si>
    <t>Batman: Year One</t>
  </si>
  <si>
    <t>Frank Miller, David Mazzucchelli, Richmond Lewis, Dennis O'Neil</t>
  </si>
  <si>
    <t>eng</t>
  </si>
  <si>
    <t>Intermediate</t>
  </si>
  <si>
    <t>Go Set a Watchman</t>
  </si>
  <si>
    <t>Harper Lee</t>
  </si>
  <si>
    <t>Amazon Digital Services,  Inc.</t>
  </si>
  <si>
    <t>When You Are Engulfed in Flames</t>
  </si>
  <si>
    <t>David Sedaris</t>
  </si>
  <si>
    <t>fiction</t>
  </si>
  <si>
    <t>Hachette Book Group</t>
  </si>
  <si>
    <t>Daughter of Smoke &amp; Bone</t>
  </si>
  <si>
    <t>Laini Taylor</t>
  </si>
  <si>
    <t>Penguin Group (USA) LLC</t>
  </si>
  <si>
    <t>Red Queen</t>
  </si>
  <si>
    <t>Victoria Aveyard</t>
  </si>
  <si>
    <t>The Power of Habit</t>
  </si>
  <si>
    <t>Charles Duhigg</t>
  </si>
  <si>
    <t>Midnight in the Garden of Good and Evil</t>
  </si>
  <si>
    <t>John Berendt</t>
  </si>
  <si>
    <t>nonfiction</t>
  </si>
  <si>
    <t>Hopeless</t>
  </si>
  <si>
    <t>Colleen Hoover</t>
  </si>
  <si>
    <t>A Little Princess</t>
  </si>
  <si>
    <t>Frances Hodgson Burnett, Nancy Bond</t>
  </si>
  <si>
    <t>Random House LLC</t>
  </si>
  <si>
    <t>The Truth About Forever</t>
  </si>
  <si>
    <t>Sarah Dessen</t>
  </si>
  <si>
    <t>The horse and his boy</t>
  </si>
  <si>
    <t>C.S. Lewis</t>
  </si>
  <si>
    <t xml:space="preserve">Last Sacrifice </t>
  </si>
  <si>
    <t>Richelle Mead</t>
  </si>
  <si>
    <t>Famous</t>
  </si>
  <si>
    <t>Little House on the Prairie</t>
  </si>
  <si>
    <t>Laura Ingalls Wilder, Garth Williams</t>
  </si>
  <si>
    <t>The Velveteen Rabbit</t>
  </si>
  <si>
    <t>Margery Williams Bianco, William   Nicholson</t>
  </si>
  <si>
    <t>Zen and the Art of Motorcycle Maintenance</t>
  </si>
  <si>
    <t>Robert M. Pirsig</t>
  </si>
  <si>
    <t>The War of the Worlds</t>
  </si>
  <si>
    <t>H.G. Wells, Arthur C. Clarke</t>
  </si>
  <si>
    <t>Pretty Little Liars</t>
  </si>
  <si>
    <t>Sara Shepard</t>
  </si>
  <si>
    <t>Corduroy</t>
  </si>
  <si>
    <t>Don Freeman</t>
  </si>
  <si>
    <t>Simon and Schuster Digital Sales Inc</t>
  </si>
  <si>
    <t>The Omnivore's Dilemma</t>
  </si>
  <si>
    <t>Michael Pollan</t>
  </si>
  <si>
    <t>Life After Life</t>
  </si>
  <si>
    <t>Kate Atkinson</t>
  </si>
  <si>
    <t>The Rescue</t>
  </si>
  <si>
    <t>Nicholas Sparks</t>
  </si>
  <si>
    <t>Needful Things</t>
  </si>
  <si>
    <t>Stephen King</t>
  </si>
  <si>
    <t>Voyager</t>
  </si>
  <si>
    <t>Diana Gabaldon</t>
  </si>
  <si>
    <t>Cujo</t>
  </si>
  <si>
    <t>spa</t>
  </si>
  <si>
    <t>The Virgin Suicides</t>
  </si>
  <si>
    <t>Jeffrey Eugenides</t>
  </si>
  <si>
    <t>Dead to the World</t>
  </si>
  <si>
    <t>Charlaine Harris</t>
  </si>
  <si>
    <t>Tess of the d'Urbervilles: A Pure Woman Faithfully Presented</t>
  </si>
  <si>
    <t>Thomas Hardy, Tim Dolin, Margaret R. Higonnet</t>
  </si>
  <si>
    <t>Madame Bovary</t>
  </si>
  <si>
    <t>Gustave Flaubert, Margaret Mauldon, Malcolm Bowie, Mark Overstall</t>
  </si>
  <si>
    <t>The Phantom Tollbooth</t>
  </si>
  <si>
    <t>Norton Juster, Jules Feiffer</t>
  </si>
  <si>
    <t>The Way of Kings</t>
  </si>
  <si>
    <t>Brandon Sanderson</t>
  </si>
  <si>
    <t>Club Dead</t>
  </si>
  <si>
    <t>en-GB</t>
  </si>
  <si>
    <t>It's Kind of a Funny Story</t>
  </si>
  <si>
    <t>Ned Vizzini</t>
  </si>
  <si>
    <t>After You</t>
  </si>
  <si>
    <t>Jojo Moyes</t>
  </si>
  <si>
    <t>The Language of Flowers</t>
  </si>
  <si>
    <t>Vanessa Diffenbaugh</t>
  </si>
  <si>
    <t>Batman: The Dark Knight Returns</t>
  </si>
  <si>
    <t>Frank Miller, Klaus Janson, Lynn Varley</t>
  </si>
  <si>
    <t>The Angel Experiment</t>
  </si>
  <si>
    <t>James Patterson</t>
  </si>
  <si>
    <t>High Fidelity</t>
  </si>
  <si>
    <t>Nick Hornby</t>
  </si>
  <si>
    <t>The Guardian</t>
  </si>
  <si>
    <t>Oryx and Crake</t>
  </si>
  <si>
    <t>Margaret Atwood</t>
  </si>
  <si>
    <t>Men Are from Mars, Women Are from Venus Book of Days: 365 Inspirations to Enrich Your Relationships</t>
  </si>
  <si>
    <t>John Gray</t>
  </si>
  <si>
    <t>Kitchen Confidential: Adventures in the Culinary Underbelly</t>
  </si>
  <si>
    <t>Anthony Bourdain</t>
  </si>
  <si>
    <t>Timeline</t>
  </si>
  <si>
    <t>Michael Crichton</t>
  </si>
  <si>
    <t>Candide</t>
  </si>
  <si>
    <t>Voltaire</t>
  </si>
  <si>
    <t>Tuck Everlasting</t>
  </si>
  <si>
    <t>Natalie Babbitt</t>
  </si>
  <si>
    <t>Christine</t>
  </si>
  <si>
    <t>Stephen King, Marie Milpois</t>
  </si>
  <si>
    <t>fre</t>
  </si>
  <si>
    <t>Are You My Mother?</t>
  </si>
  <si>
    <t>P.D. Eastman</t>
  </si>
  <si>
    <t>The Story of Art</t>
  </si>
  <si>
    <t>E.H. Gombrich</t>
  </si>
  <si>
    <t>Scarlet</t>
  </si>
  <si>
    <t>Marissa Meyer</t>
  </si>
  <si>
    <t>Rich Dad , Poor Dad</t>
  </si>
  <si>
    <t>Robert T. Kiyosaki</t>
  </si>
  <si>
    <t xml:space="preserve">Silence </t>
  </si>
  <si>
    <t>Becca Fitzpatrick</t>
  </si>
  <si>
    <t>The Magicians</t>
  </si>
  <si>
    <t>Lev Grossman</t>
  </si>
  <si>
    <t>Macmillan</t>
  </si>
  <si>
    <t>Ã£Æ’â€¡Ã£â€šÂ¹Ã£Æ’Å½Ã£Æ’Â¼Ã£Æ’Ë† #1 (Desu NÃ…Âto) Taikutsu (Ã©â‚¬â‚¬Ã¥Â±Ë†)</t>
  </si>
  <si>
    <t>Tsugumi Ohba, Takeshi Obata</t>
  </si>
  <si>
    <t>A Great and Terrible Beauty</t>
  </si>
  <si>
    <t>Libba Bray</t>
  </si>
  <si>
    <t>Everything Is Illuminated</t>
  </si>
  <si>
    <t>Jonathan Safran Foer</t>
  </si>
  <si>
    <t>The Bourne Supremacy</t>
  </si>
  <si>
    <t>Robert Ludlum</t>
  </si>
  <si>
    <t>Easy</t>
  </si>
  <si>
    <t>Tammara Webber</t>
  </si>
  <si>
    <t>en-CA</t>
  </si>
  <si>
    <t>David Copperfield</t>
  </si>
  <si>
    <t>Charles Dickens, Jeremy Tambling</t>
  </si>
  <si>
    <t>The Absolutely True Diary of a Part-Time Indian</t>
  </si>
  <si>
    <t>Sherman Alexie, Ellen Forney</t>
  </si>
  <si>
    <t>ÃÅ“ÃÂ°Ã‘ÂÃ‘â€šÃÂµÃ‘â‚¬ ÃÂ¸ ÃÅ“ÃÂ°Ã‘â‚¬ÃÂ³ÃÂ°Ã‘â‚¬ÃÂ¸Ã‘â€šÃÂ°</t>
  </si>
  <si>
    <t>Mikhail Bulgakov, Katherine Tiernan O'Connor, Diana Burgin, Ellendea Proffer</t>
  </si>
  <si>
    <t>A Wizard of Earthsea</t>
  </si>
  <si>
    <t>Ursula K. Le Guin</t>
  </si>
  <si>
    <t>Because of Winn-Dixie</t>
  </si>
  <si>
    <t>Kate DiCamillo, Chris Sheban</t>
  </si>
  <si>
    <t>A Separate Peace</t>
  </si>
  <si>
    <t>John Knowles</t>
  </si>
  <si>
    <t>The Rainmaker</t>
  </si>
  <si>
    <t>John Grisham</t>
  </si>
  <si>
    <t>Don Quijote de La Mancha</t>
  </si>
  <si>
    <t>Miguel de Cervantes Saavedra, Roberto GonzÃƒÂ¡lez EchevarrÃƒÂ­a, John Rutherford</t>
  </si>
  <si>
    <t>Assassin's Apprentice</t>
  </si>
  <si>
    <t>Robin Hobb</t>
  </si>
  <si>
    <t>The Restaurant at the End of the Universe</t>
  </si>
  <si>
    <t>Douglas Adams</t>
  </si>
  <si>
    <t>Torment</t>
  </si>
  <si>
    <t>Lauren Kate</t>
  </si>
  <si>
    <t>The Tale of Peter Rabbit</t>
  </si>
  <si>
    <t>Beatrix Potter</t>
  </si>
  <si>
    <t>The Silver Chair</t>
  </si>
  <si>
    <t>C.S. Lewis, Pauline Baynes</t>
  </si>
  <si>
    <t>The Hero of Ages</t>
  </si>
  <si>
    <t>Girl, Interrupted</t>
  </si>
  <si>
    <t>Susanna Kaysen</t>
  </si>
  <si>
    <t>Are You There, Vodka? It's Me, Chelsea</t>
  </si>
  <si>
    <t>Chelsea Handler</t>
  </si>
  <si>
    <t>Jonathan Livingston Seagull</t>
  </si>
  <si>
    <t>Richard Bach, Russell Munson</t>
  </si>
  <si>
    <t>City of Heavenly Fire</t>
  </si>
  <si>
    <t>Cassandra Clare</t>
  </si>
  <si>
    <t>Love You Forever</t>
  </si>
  <si>
    <t>Robert Munsch, Sheila McGraw</t>
  </si>
  <si>
    <t>Cell</t>
  </si>
  <si>
    <t>The Boys in the Boat: Nine Americans and Their Epic Quest for Gold at the 1936 Berlin Olympics</t>
  </si>
  <si>
    <t>Daniel James Brown</t>
  </si>
  <si>
    <t>The Silmarillion</t>
  </si>
  <si>
    <t>J.R.R. Tolkien, Christopher Tolkien, Ted Nasmith</t>
  </si>
  <si>
    <t>The Drawing of the Three</t>
  </si>
  <si>
    <t>The Forgotten Garden</t>
  </si>
  <si>
    <t>Kate Morton</t>
  </si>
  <si>
    <t>Der ProzeÃƒÅ¸</t>
  </si>
  <si>
    <t>Franz Kafka, Edwin Muir, Willa Muir, Max Brod</t>
  </si>
  <si>
    <t>This Lullaby</t>
  </si>
  <si>
    <t>Plain Truth</t>
  </si>
  <si>
    <t>Jodi Picoult</t>
  </si>
  <si>
    <t>Orange Is the New Black: My Year in a Women's Prison</t>
  </si>
  <si>
    <t>Piper Kerman</t>
  </si>
  <si>
    <t>The Hound of the Baskervilles</t>
  </si>
  <si>
    <t>Arthur Conan Doyle, Anne Perry</t>
  </si>
  <si>
    <t>Thinking, Fast and Slow</t>
  </si>
  <si>
    <t>Daniel Kahneman</t>
  </si>
  <si>
    <t>The Mists of Avalon</t>
  </si>
  <si>
    <t>Marion Zimmer Bradley</t>
  </si>
  <si>
    <t>Are You There God? It's Me, Margaret</t>
  </si>
  <si>
    <t>Judy Blume</t>
  </si>
  <si>
    <t>Nights in Rodanthe</t>
  </si>
  <si>
    <t>Mr. Mercedes</t>
  </si>
  <si>
    <t>All Together Dead</t>
  </si>
  <si>
    <t>Midwives</t>
  </si>
  <si>
    <t>Chris Bohjalian</t>
  </si>
  <si>
    <t>The Polar Express</t>
  </si>
  <si>
    <t>Chris Van Allsburg</t>
  </si>
  <si>
    <t>The True Story of the Three Little Pigs</t>
  </si>
  <si>
    <t>Jon Scieszka, Lane Smith</t>
  </si>
  <si>
    <t>Patriot Games</t>
  </si>
  <si>
    <t>Tom Clancy</t>
  </si>
  <si>
    <t>Veronika decide morrer</t>
  </si>
  <si>
    <t>Paulo Coelho, Margaret Jull Costa</t>
  </si>
  <si>
    <t>Lean In: Women, Work, and the Will to Lead</t>
  </si>
  <si>
    <t>Sheryl Sandberg, Nell Scovell</t>
  </si>
  <si>
    <t xml:space="preserve">Dead as a Doornail </t>
  </si>
  <si>
    <t>Shatter Me (Shatter Me, #1)</t>
  </si>
  <si>
    <t>Tahereh Mafi</t>
  </si>
  <si>
    <t>Starship Troopers</t>
  </si>
  <si>
    <t>Robert A. Heinlein</t>
  </si>
  <si>
    <t>I've Got Your Number</t>
  </si>
  <si>
    <t>Sophie Kinsella</t>
  </si>
  <si>
    <t>Sofies Verden</t>
  </si>
  <si>
    <t>Jostein Gaarder, Paulette MÃƒÂ¸ller</t>
  </si>
  <si>
    <t>Mark Cotta Vaz</t>
  </si>
  <si>
    <t>The Martian Chronicles</t>
  </si>
  <si>
    <t>Ray Bradbury</t>
  </si>
  <si>
    <t>A Visit From the Goon Squad</t>
  </si>
  <si>
    <t>Jennifer Egan</t>
  </si>
  <si>
    <t>Heidi</t>
  </si>
  <si>
    <t>Johanna Spyri, Angelo  Rinaldi, Beverly Cleary</t>
  </si>
  <si>
    <t>Prey</t>
  </si>
  <si>
    <t>The Last Battle</t>
  </si>
  <si>
    <t>World Without End</t>
  </si>
  <si>
    <t>Ken Follett</t>
  </si>
  <si>
    <t>Chosen: A House of Night Novel</t>
  </si>
  <si>
    <t>P.C. Cast, Kristin Cast</t>
  </si>
  <si>
    <t>Slammed</t>
  </si>
  <si>
    <t>Beastly (Beastly, #1, Kendra Chronicles, #1)</t>
  </si>
  <si>
    <t>Alex Flinn</t>
  </si>
  <si>
    <t>Tales of Caunterbury</t>
  </si>
  <si>
    <t>Geoffrey Chaucer, Nevill Coghill</t>
  </si>
  <si>
    <t>Baby Proof</t>
  </si>
  <si>
    <t>Emily Giffin</t>
  </si>
  <si>
    <t>Inheritance</t>
  </si>
  <si>
    <t>Christopher Paolini</t>
  </si>
  <si>
    <t>Ã£Ââ€žÃ£ÂÂ¡Ã£ÂÂÃ£â€šâ€¦Ã£Ââ€ Ã£ÂÂ¯Ã£ÂÂ¡Ã£â€šË†Ã£â€šâ€œ [Ichi-KyÃ…Â«-Hachi-Yon]</t>
  </si>
  <si>
    <t>Haruki Murakami, Jay Rubin, Philip Gabriel</t>
  </si>
  <si>
    <t>Uncle Tom's Cabin or Life Among the Lowly</t>
  </si>
  <si>
    <t>Harriet Beecher Stowe</t>
  </si>
  <si>
    <t>Le FantÃƒÂ´me de l'OpÃƒÂ©ra</t>
  </si>
  <si>
    <t>Gaston Leroux, Alexander Teixeira de Mattos</t>
  </si>
  <si>
    <t>Definitely Dead (Sookie Stackhouse, #6)</t>
  </si>
  <si>
    <t>Ensaio Sobre a Cegueira</t>
  </si>
  <si>
    <t>JosÃƒÂ© Saramago, Giovanni Pontiero</t>
  </si>
  <si>
    <t>Freedom</t>
  </si>
  <si>
    <t>Jonathan Franzen</t>
  </si>
  <si>
    <t>Crossed</t>
  </si>
  <si>
    <t>Ally Condie</t>
  </si>
  <si>
    <t>I'd Tell You I Love You, But Then I'd Have to Kill You</t>
  </si>
  <si>
    <t>Ally Carter</t>
  </si>
  <si>
    <t>The White Tiger</t>
  </si>
  <si>
    <t>Aravind Adiga</t>
  </si>
  <si>
    <t>The Corrections</t>
  </si>
  <si>
    <t>Dreams from My Father</t>
  </si>
  <si>
    <t>Barack Obama</t>
  </si>
  <si>
    <t>Congo</t>
  </si>
  <si>
    <t>Alexander and the Terrible, Horrible, No Good, Very Bad Day</t>
  </si>
  <si>
    <t>Judith Viorst, Ray Cruz</t>
  </si>
  <si>
    <t>Interpreter of Maladies</t>
  </si>
  <si>
    <t>Jhumpa Lahiri</t>
  </si>
  <si>
    <t xml:space="preserve">A People's History of the United States: 1492 to Present </t>
  </si>
  <si>
    <t>Howard Zinn</t>
  </si>
  <si>
    <t>Breakfast at Tiffany's</t>
  </si>
  <si>
    <t>Truman Capote</t>
  </si>
  <si>
    <t>The Passage</t>
  </si>
  <si>
    <t>Justin Cronin</t>
  </si>
  <si>
    <t>Anansi Boys</t>
  </si>
  <si>
    <t>Neil Gaiman</t>
  </si>
  <si>
    <t>Along for the Ride</t>
  </si>
  <si>
    <t>Everything I Never Told You</t>
  </si>
  <si>
    <t>Celeste Ng</t>
  </si>
  <si>
    <t>La casa de los espÃƒÂ­ritus</t>
  </si>
  <si>
    <t>Isabel Allende, Magda Bogin</t>
  </si>
  <si>
    <t>The Dead Zone</t>
  </si>
  <si>
    <t>The Mysterious Affair at Styles</t>
  </si>
  <si>
    <t>Agatha Christie, ÃŽÂ¡ÃŽÂ¿ÃŽÂ¶ÃŽÂ¯Ãâ€žÃŽÂ± ÃŽÂ£ÃÅ½ÃŽÂºÃŽÂ¿Ãâ€¦</t>
  </si>
  <si>
    <t>Murder in the Calais Coach</t>
  </si>
  <si>
    <t>Agatha Christie</t>
  </si>
  <si>
    <t>Americanah</t>
  </si>
  <si>
    <t>Chimamanda Ngozi Adichie</t>
  </si>
  <si>
    <t>Suzanne's Diary for Nicholas</t>
  </si>
  <si>
    <t>Firestarter</t>
  </si>
  <si>
    <t>Entwined with You</t>
  </si>
  <si>
    <t>Sylvia Day</t>
  </si>
  <si>
    <t>Born to Run: A Hidden Tribe, Superathletes, and the Greatest Race the World Has Never Seen</t>
  </si>
  <si>
    <t>Christopher McDougall</t>
  </si>
  <si>
    <t>The Storied Life of A.J. Fikry</t>
  </si>
  <si>
    <t>Gabrielle Zevin</t>
  </si>
  <si>
    <t>Mad About Madeline</t>
  </si>
  <si>
    <t>Ludwig Bemelmans</t>
  </si>
  <si>
    <t>Think and Grow Rich</t>
  </si>
  <si>
    <t>Napoleon Hill</t>
  </si>
  <si>
    <t>Little House In The Big Woods</t>
  </si>
  <si>
    <t>Jonathan Strange &amp; Mr Norrell</t>
  </si>
  <si>
    <t>Susanna Clarke</t>
  </si>
  <si>
    <t>A Bend in the Road</t>
  </si>
  <si>
    <t>The House of Hades</t>
  </si>
  <si>
    <t>Rick Riordan</t>
  </si>
  <si>
    <t>Gone</t>
  </si>
  <si>
    <t>Michael  Grant</t>
  </si>
  <si>
    <t>The Wedding</t>
  </si>
  <si>
    <t>David McCullough</t>
  </si>
  <si>
    <t>Under the Banner of Heaven: A Story of Violent Faith</t>
  </si>
  <si>
    <t>Jon Krakauer</t>
  </si>
  <si>
    <t>Beautiful Ruins</t>
  </si>
  <si>
    <t>Jess Walter</t>
  </si>
  <si>
    <t>The Audacity of Hope: Thoughts on Reclaiming the American Dream</t>
  </si>
  <si>
    <t>On Writing: A Memoir of the Craft</t>
  </si>
  <si>
    <t>Firefly Lane</t>
  </si>
  <si>
    <t>Kristin Hannah</t>
  </si>
  <si>
    <t>Sphere</t>
  </si>
  <si>
    <t>Love the One You're With</t>
  </si>
  <si>
    <t>The Silkworm</t>
  </si>
  <si>
    <t>Robert Galbraith, J.K. Rowling</t>
  </si>
  <si>
    <t>The Vampire Lestat</t>
  </si>
  <si>
    <t>Anne Rice</t>
  </si>
  <si>
    <t>State of Wonder</t>
  </si>
  <si>
    <t>Ann Patchett</t>
  </si>
  <si>
    <t>The Silver Linings Playbook</t>
  </si>
  <si>
    <t>Matthew Quick</t>
  </si>
  <si>
    <t>Vingt Mille Lieues Sous les Mers</t>
  </si>
  <si>
    <t>Jules Verne, Anthony Bonner</t>
  </si>
  <si>
    <t>The Constant Princess</t>
  </si>
  <si>
    <t>Philippa Gregory</t>
  </si>
  <si>
    <t>Mrs Dalloway</t>
  </si>
  <si>
    <t>Virginia Woolf, Maureen Howard</t>
  </si>
  <si>
    <t>HundraÃƒÂ¥ringen som klev ut genom fÃƒÂ¶nstret och fÃƒÂ¶rsvann</t>
  </si>
  <si>
    <t>Jonas Jonasson, Rod Bradbury</t>
  </si>
  <si>
    <t>Bag of Bones</t>
  </si>
  <si>
    <t>The Cider House Rules</t>
  </si>
  <si>
    <t>John Irving</t>
  </si>
  <si>
    <t>Thinner</t>
  </si>
  <si>
    <t>Richard Bachman, Stephen King</t>
  </si>
  <si>
    <t>Le tour du monde en quatre-vingts jours</t>
  </si>
  <si>
    <t>Jules Verne, Michael Glencross, Brian W. Aldiss</t>
  </si>
  <si>
    <t>Walk Two Moons</t>
  </si>
  <si>
    <t>Sharon Creech</t>
  </si>
  <si>
    <t>Onze minutos</t>
  </si>
  <si>
    <t>Nine Stories</t>
  </si>
  <si>
    <t>J.D. Salinger</t>
  </si>
  <si>
    <t>Julie &amp; Julia: 365 Days, 524 Recipes, 1 Tiny Apartment Kitchen</t>
  </si>
  <si>
    <t>Julie Powell</t>
  </si>
  <si>
    <t>Unwind</t>
  </si>
  <si>
    <t>Neal Shusterman</t>
  </si>
  <si>
    <t>Drums of Autumn (Outlander, #4)</t>
  </si>
  <si>
    <t>Prodigy</t>
  </si>
  <si>
    <t>Marie Lu</t>
  </si>
  <si>
    <t>The Tragedie of King Lear</t>
  </si>
  <si>
    <t>William Shakespeare</t>
  </si>
  <si>
    <t>Death of a Salesman</t>
  </si>
  <si>
    <t>Arthur Miller</t>
  </si>
  <si>
    <t>The Choice</t>
  </si>
  <si>
    <t>The Sound and the Fury</t>
  </si>
  <si>
    <t>William Faulkner</t>
  </si>
  <si>
    <t>A New Earth: Awakening to Your Life's Purpose</t>
  </si>
  <si>
    <t>Eckhart Tolle</t>
  </si>
  <si>
    <t>BLEACHÃ¢â‚¬â€¢Ã£Æ’â€“Ã£Æ’ÂªÃ£Æ’Â¼Ã£Æ’ÂÃ¢â‚¬â€¢Ã£â‚¬â‚¬1</t>
  </si>
  <si>
    <t>Tite Kubo</t>
  </si>
  <si>
    <t xml:space="preserve">The Shadow Rising </t>
  </si>
  <si>
    <t>Robert Jordan</t>
  </si>
  <si>
    <t>HarperCollins Publishing</t>
  </si>
  <si>
    <t>Shantaram</t>
  </si>
  <si>
    <t>Gregory David Roberts</t>
  </si>
  <si>
    <t>From Dead to Worse</t>
  </si>
  <si>
    <t>The Waste Lands</t>
  </si>
  <si>
    <t>Stephen King, Ned Dameron</t>
  </si>
  <si>
    <t>The Bone Collector</t>
  </si>
  <si>
    <t>Jeffery Deaver</t>
  </si>
  <si>
    <t>Der Vorleser</t>
  </si>
  <si>
    <t>Bernhard Schlink, Carol Brown Janeway</t>
  </si>
  <si>
    <t>Brown Bear, Brown Bear, What Do You See?</t>
  </si>
  <si>
    <t>Bill Martin Jr., Eric Carle</t>
  </si>
  <si>
    <t>Hyperion</t>
  </si>
  <si>
    <t>Dan Simmons</t>
  </si>
  <si>
    <t>The Pearl of the World</t>
  </si>
  <si>
    <t>John Steinbeck</t>
  </si>
  <si>
    <t>The Exorcist</t>
  </si>
  <si>
    <t>William Peter Blatty</t>
  </si>
  <si>
    <t>The Short Second Life of Bree Tanner</t>
  </si>
  <si>
    <t>Stephenie Meyer</t>
  </si>
  <si>
    <t>Snow Falling on Cedars</t>
  </si>
  <si>
    <t>David Guterson</t>
  </si>
  <si>
    <t>Roots</t>
  </si>
  <si>
    <t>Alex Haley</t>
  </si>
  <si>
    <t xml:space="preserve">Batman: The Killing Joke </t>
  </si>
  <si>
    <t>Alan Moore, Brian Bolland, Tim Sale</t>
  </si>
  <si>
    <t>Invisible Man</t>
  </si>
  <si>
    <t>Ralph Ellison</t>
  </si>
  <si>
    <t>A Long Way Gone. Memoirs of a Boy Soldier</t>
  </si>
  <si>
    <t>Ishmael Beah</t>
  </si>
  <si>
    <t>Mrs. Frisby and the Rats of NIMH</t>
  </si>
  <si>
    <t>Robert C. O'Brien</t>
  </si>
  <si>
    <t>Different Seasons</t>
  </si>
  <si>
    <t>The Little House Collection</t>
  </si>
  <si>
    <t>The Girls' Guide to Hunting and Fishing</t>
  </si>
  <si>
    <t>Melissa Bank</t>
  </si>
  <si>
    <t>Wool Omnibus</t>
  </si>
  <si>
    <t>Hugh Howey</t>
  </si>
  <si>
    <t>Lamb: The Gospel According to Biff, Christ's Childhood Pal</t>
  </si>
  <si>
    <t>Christopher Moore</t>
  </si>
  <si>
    <t>The Power of Now</t>
  </si>
  <si>
    <t>Let's Pretend This Never Happened (A Mostly True Memoir)</t>
  </si>
  <si>
    <t>Jenny  Lawson</t>
  </si>
  <si>
    <t>The Lies of Locke Lamora</t>
  </si>
  <si>
    <t>Scott Lynch</t>
  </si>
  <si>
    <t>Sabriel</t>
  </si>
  <si>
    <t>Garth Nix</t>
  </si>
  <si>
    <t>Dead and Gone</t>
  </si>
  <si>
    <t>The Storyteller</t>
  </si>
  <si>
    <t>Obsidian</t>
  </si>
  <si>
    <t>Jennifer L. Armentrout</t>
  </si>
  <si>
    <t>Life, the Universe and Everything</t>
  </si>
  <si>
    <t>Crown of Midnight</t>
  </si>
  <si>
    <t>Sarah J. Maas</t>
  </si>
  <si>
    <t>Scott Pilgrim, Volume 1: Scott Pilgrim's Precious Little Life</t>
  </si>
  <si>
    <t>Bryan Lee O'Malley</t>
  </si>
  <si>
    <t>Half Broke Horses: A True Life Novel</t>
  </si>
  <si>
    <t>Jeannette Walls</t>
  </si>
  <si>
    <t>Mort</t>
  </si>
  <si>
    <t>Terry Pratchett</t>
  </si>
  <si>
    <t xml:space="preserve">The Iron King (The Iron Fey, #1) </t>
  </si>
  <si>
    <t>Julie Kagawa</t>
  </si>
  <si>
    <t>Lonesome Dove</t>
  </si>
  <si>
    <t>Larry McMurtry</t>
  </si>
  <si>
    <t>Stiff: The Curious Lives of Human Cadavers</t>
  </si>
  <si>
    <t>Mary Roach</t>
  </si>
  <si>
    <t>Bloodlines</t>
  </si>
  <si>
    <t>Ender's Shadow</t>
  </si>
  <si>
    <t>Orson Scott Card</t>
  </si>
  <si>
    <t>Twenties Girl</t>
  </si>
  <si>
    <t>Schindler's Ark</t>
  </si>
  <si>
    <t>Thomas Keneally</t>
  </si>
  <si>
    <t>The Bluest Eye</t>
  </si>
  <si>
    <t>Toni Morrison</t>
  </si>
  <si>
    <t>The White Queen</t>
  </si>
  <si>
    <t>The Autobiography of Malcolm X</t>
  </si>
  <si>
    <t>Malcolm X, Alex Haley</t>
  </si>
  <si>
    <t>Preludes &amp; Nocturnes</t>
  </si>
  <si>
    <t>Neil Gaiman, Sam Kieth, Mike Dringenberg, Malcolm Jones III, Todd Klein, Karen  Berger</t>
  </si>
  <si>
    <t>Seabiscuit</t>
  </si>
  <si>
    <t>Laura Hillenbrand</t>
  </si>
  <si>
    <t>Shutter Island</t>
  </si>
  <si>
    <t>Dennis Lehane</t>
  </si>
  <si>
    <t>The Complete Sherlock Holmes</t>
  </si>
  <si>
    <t>Arthur Conan Doyle</t>
  </si>
  <si>
    <t>The Tragedy of Julius Caesar</t>
  </si>
  <si>
    <t>William Shakespeare, Roma Gill</t>
  </si>
  <si>
    <t>In the Garden of Beasts: Love, Terror, and an American Family in Hitler's Berlin</t>
  </si>
  <si>
    <t>Erik Larson</t>
  </si>
  <si>
    <t>ÃŽÂ ÃŽÂ¿ÃŽÂ»ÃŽÂ¹Ãâ€žÃŽÂµÃŽÂ¯ÃŽÂ±</t>
  </si>
  <si>
    <t>Plato, Desmond Lee</t>
  </si>
  <si>
    <t>The Taming of the Shrew</t>
  </si>
  <si>
    <t>Cress</t>
  </si>
  <si>
    <t>Just Kids</t>
  </si>
  <si>
    <t>Patti Smith</t>
  </si>
  <si>
    <t>Jemima J</t>
  </si>
  <si>
    <t>Jane Green</t>
  </si>
  <si>
    <t>Notre-Dame de Paris</t>
  </si>
  <si>
    <t>Victor Hugo, Walter J. Cobb</t>
  </si>
  <si>
    <t>A Fine Balance</t>
  </si>
  <si>
    <t>Rohinton Mistry</t>
  </si>
  <si>
    <t>Calvin and Hobbes</t>
  </si>
  <si>
    <t>Bill Watterson, G.B. Trudeau</t>
  </si>
  <si>
    <t>Specials</t>
  </si>
  <si>
    <t>Scott Westerfeld</t>
  </si>
  <si>
    <t>The Awakening</t>
  </si>
  <si>
    <t>Kate Chopin</t>
  </si>
  <si>
    <t>Hunted</t>
  </si>
  <si>
    <t>For One More Day</t>
  </si>
  <si>
    <t>Mitch Albom</t>
  </si>
  <si>
    <t>Clear and Present Danger</t>
  </si>
  <si>
    <t>Falling Up</t>
  </si>
  <si>
    <t>Shel Silverstein</t>
  </si>
  <si>
    <t>Sh*t My Dad Says</t>
  </si>
  <si>
    <t>Justin Halpern</t>
  </si>
  <si>
    <t>Trainspotting</t>
  </si>
  <si>
    <t>Irvine Welsh, Eric Lindor Fall</t>
  </si>
  <si>
    <t>Foundation and Empire</t>
  </si>
  <si>
    <t>Isaac Asimov</t>
  </si>
  <si>
    <t>The Four Agreements: A Practical Guide to Personal Freedom, A Toltec Wisdom Book</t>
  </si>
  <si>
    <t>Miguel Ruiz</t>
  </si>
  <si>
    <t>House Rules</t>
  </si>
  <si>
    <t>BrÃƒÂ¼der Grimm: Kinder- und HausmÃƒÂ¤rchen</t>
  </si>
  <si>
    <t>Jacob Grimm, Wilhelm Grimm, Josef Scharl, Padraic Colum, Joseph Campbell, Margaret Raine Hunt, James Stern</t>
  </si>
  <si>
    <t>From the Mixed-Up Files of Mrs. Basil E. Frankweiler</t>
  </si>
  <si>
    <t>E.L. Konigsburg</t>
  </si>
  <si>
    <t>Doctor Sleep</t>
  </si>
  <si>
    <t>About a Boy</t>
  </si>
  <si>
    <t>On Dublin Street</t>
  </si>
  <si>
    <t>Samantha Young</t>
  </si>
  <si>
    <t>Crazy Love: Overwhelmed by a Relentless God</t>
  </si>
  <si>
    <t>Francis Chan, Danae Yankoski, Chris Tomlin</t>
  </si>
  <si>
    <t>One Fish, Two Fish, Red Fish, Blue Fish</t>
  </si>
  <si>
    <t>Dr. Seuss</t>
  </si>
  <si>
    <t>Watchers</t>
  </si>
  <si>
    <t>Dean Koontz</t>
  </si>
  <si>
    <t>The Story of My Life</t>
  </si>
  <si>
    <t>Helen Keller</t>
  </si>
  <si>
    <t>This Is Where I Leave You</t>
  </si>
  <si>
    <t>Jonathan Tropper</t>
  </si>
  <si>
    <t>Abraham Lincoln: Vampire Hunter</t>
  </si>
  <si>
    <t>Seth Grahame-Smith</t>
  </si>
  <si>
    <t>Ã£Æ’â€¢Ã£Æ’Â«Ã£Æ’Â¼Ã£Æ’â€žÃ£Æ’ÂÃ£â€šÂ¹Ã£â€šÂ±Ã£Æ’Æ’Ã£Æ’Ë† 1</t>
  </si>
  <si>
    <t>Natsuki Takaya, Alethea Nibley, Athena Nibley</t>
  </si>
  <si>
    <t>The Tempest</t>
  </si>
  <si>
    <t>Burned: A House of Night Novel</t>
  </si>
  <si>
    <t>Wizard and Glass</t>
  </si>
  <si>
    <t>Stephen King, Dave McKean</t>
  </si>
  <si>
    <t>The Circle</t>
  </si>
  <si>
    <t>Dave Eggers</t>
  </si>
  <si>
    <t>The Invention of Hugo Cabret</t>
  </si>
  <si>
    <t>Brian Selznick</t>
  </si>
  <si>
    <t>Brave New World/Brave New World Revisited</t>
  </si>
  <si>
    <t>Aldous Huxley, Christopher Hitchens</t>
  </si>
  <si>
    <t>Ã¦Â¡Å“Ã¨ËœÂ­Ã©Â«ËœÃ¦Â Â¡Ã£Æ’â€ºÃ£â€šÂ¹Ã£Æ’Ë†Ã©Æ’Â¨ 1</t>
  </si>
  <si>
    <t>Bisco Hatori</t>
  </si>
  <si>
    <t>Excellent</t>
  </si>
  <si>
    <t>The Good Girl</t>
  </si>
  <si>
    <t>Mary Kubica</t>
  </si>
  <si>
    <t>Fallen Too Far (Too Far, #1)</t>
  </si>
  <si>
    <t>Abbi Glines</t>
  </si>
  <si>
    <t>Landline</t>
  </si>
  <si>
    <t>Rainbow Rowell</t>
  </si>
  <si>
    <t>Tempted</t>
  </si>
  <si>
    <t>No Country for Old Men</t>
  </si>
  <si>
    <t>Cormac McCarthy</t>
  </si>
  <si>
    <t>Wolf Hall</t>
  </si>
  <si>
    <t>Hilary Mantel</t>
  </si>
  <si>
    <t>Howl's Moving Castle</t>
  </si>
  <si>
    <t>Diana Wynne Jones</t>
  </si>
  <si>
    <t>Dreamcatcher</t>
  </si>
  <si>
    <t>Stephen King, William Olivier Desmond</t>
  </si>
  <si>
    <t>Walden; or Life in the Woods</t>
  </si>
  <si>
    <t>Henry David Thoreau</t>
  </si>
  <si>
    <t>The Remains of the Day</t>
  </si>
  <si>
    <t>Kazuo Ishiguro</t>
  </si>
  <si>
    <t>The Best of Me</t>
  </si>
  <si>
    <t>The Sense of an Ending</t>
  </si>
  <si>
    <t>Julian Barnes</t>
  </si>
  <si>
    <t>A is for Alibi</t>
  </si>
  <si>
    <t>Sue Grafton</t>
  </si>
  <si>
    <t>ÃŽÅ¸Ã¡Â¼Â°ÃŽÂ´ÃŽÂ¯Ãâ‚¬ÃŽÂ¿Ãâ€¦Ãâ€š ÃŽÂ¤ÃÂÃÂÃŽÂ±ÃŽÂ½ÃŽÂ½ÃŽÂ¿Ãâ€š</t>
  </si>
  <si>
    <t>Sophocles, J.E. Thomas</t>
  </si>
  <si>
    <t>Shanghai Girls</t>
  </si>
  <si>
    <t>Lisa See</t>
  </si>
  <si>
    <t>The Wind in the Willows</t>
  </si>
  <si>
    <t>Kenneth Grahame, Gillian Avery</t>
  </si>
  <si>
    <t>To All the Boys I've Loved Before</t>
  </si>
  <si>
    <t>Jenny Han</t>
  </si>
  <si>
    <t>Persepolis</t>
  </si>
  <si>
    <t>Marjane Satrapi, Mattias Ripa</t>
  </si>
  <si>
    <t>A Room with a View</t>
  </si>
  <si>
    <t>E.M. Forster</t>
  </si>
  <si>
    <t>The DUFF: Designated Ugly Fat Friend</t>
  </si>
  <si>
    <t>Kody Keplinger</t>
  </si>
  <si>
    <t>Lock and Key</t>
  </si>
  <si>
    <t>Naked in Death</t>
  </si>
  <si>
    <t>J.D. Robb</t>
  </si>
  <si>
    <t>The Chamber</t>
  </si>
  <si>
    <t>Midnight Sun (Partial Draft)</t>
  </si>
  <si>
    <t xml:space="preserve">NARUTO -Ã£Æ’Å Ã£Æ’Â«Ã£Æ’Ë†- Ã¥Â·Â»Ã£Æ’Å½Ã¤Â¸â‚¬ </t>
  </si>
  <si>
    <t>Masashi Kishimoto, Katy Bridges</t>
  </si>
  <si>
    <t>HarperCollins Christian Publishing</t>
  </si>
  <si>
    <t>The Unlikely Pilgrimage of Harold Fry</t>
  </si>
  <si>
    <t>Rachel Joyce</t>
  </si>
  <si>
    <t>Every Day</t>
  </si>
  <si>
    <t>David Levithan</t>
  </si>
  <si>
    <t>Xenocide</t>
  </si>
  <si>
    <t>The Merchant of Venice</t>
  </si>
  <si>
    <t>William Shakespeare, Robert          Jackson, Barbara A. Mowat, Paul Werstine</t>
  </si>
  <si>
    <t>ShÃ…Âgun</t>
  </si>
  <si>
    <t>James Clavell</t>
  </si>
  <si>
    <t>Lover Awakened (Black Dagger Brotherhood, #3)</t>
  </si>
  <si>
    <t>J.R. Ward</t>
  </si>
  <si>
    <t>A Court of Thorns and Roses</t>
  </si>
  <si>
    <t>E.L. James</t>
  </si>
  <si>
    <t>Chicka Chicka Boom Boom</t>
  </si>
  <si>
    <t>Bill Martin Jr., John Archambault, Lois Ehlert</t>
  </si>
  <si>
    <t>Smile</t>
  </si>
  <si>
    <t>Raina Telgemeier</t>
  </si>
  <si>
    <t xml:space="preserve"> Animal Farm &amp; 1984</t>
  </si>
  <si>
    <t>George Orwell, Christopher Hitchens</t>
  </si>
  <si>
    <t>The Deep End of the Ocean</t>
  </si>
  <si>
    <t>Jacquelyn Mitchard</t>
  </si>
  <si>
    <t>The Bonesetter's Daughter</t>
  </si>
  <si>
    <t>Amy Tan</t>
  </si>
  <si>
    <t>Angus, Thongs and Full-Frontal Snogging</t>
  </si>
  <si>
    <t>Louise Rennison</t>
  </si>
  <si>
    <t>Mr. Penumbra's 24-Hour Bookstore</t>
  </si>
  <si>
    <t>Robin Sloan</t>
  </si>
  <si>
    <t>Flowers in the Attic</t>
  </si>
  <si>
    <t>V.C. Andrews</t>
  </si>
  <si>
    <t>children</t>
  </si>
  <si>
    <t>When Breath Becomes Air</t>
  </si>
  <si>
    <t>Paul Kalanithi, Abraham Verghese</t>
  </si>
  <si>
    <t>Maniac Magee</t>
  </si>
  <si>
    <t>Jerry Spinelli</t>
  </si>
  <si>
    <t>Invisible Monsters</t>
  </si>
  <si>
    <t>Chuck Palahniuk</t>
  </si>
  <si>
    <t>Twelfth Night; or, What You Will</t>
  </si>
  <si>
    <t>Gathering Blue</t>
  </si>
  <si>
    <t>Lois Lowry</t>
  </si>
  <si>
    <t>The Westing Game</t>
  </si>
  <si>
    <t>Ellen Raskin</t>
  </si>
  <si>
    <t>Red Rising</t>
  </si>
  <si>
    <t>Pierce Brown</t>
  </si>
  <si>
    <t>The Way of Shadows</t>
  </si>
  <si>
    <t>Brent Weeks</t>
  </si>
  <si>
    <t>The Bean Trees</t>
  </si>
  <si>
    <t>Barbara Kingsolver</t>
  </si>
  <si>
    <t>Walking Disaster</t>
  </si>
  <si>
    <t>Jamie McGuire</t>
  </si>
  <si>
    <t>Words of Radiance</t>
  </si>
  <si>
    <t>Guess How Much I Love You</t>
  </si>
  <si>
    <t>Sam McBratney, Anita Jeram</t>
  </si>
  <si>
    <t>The Fiery Cross</t>
  </si>
  <si>
    <t>Night Shift</t>
  </si>
  <si>
    <t>Stephen King, John D. MacDonald</t>
  </si>
  <si>
    <t>Jaws</t>
  </si>
  <si>
    <t>Peter Benchley</t>
  </si>
  <si>
    <t>The History of Love</t>
  </si>
  <si>
    <t>Nicole Krauss</t>
  </si>
  <si>
    <t>Pippi LÃƒÂ¥ngstrump</t>
  </si>
  <si>
    <t>Astrid Lindgren, Lauren Child, Florence Lamborn, Nancy Seligsohn</t>
  </si>
  <si>
    <t>L'ÃƒÂ©lÃƒÂ©gance du hÃƒÂ©risson</t>
  </si>
  <si>
    <t>Muriel Barbery, Alison Anderson</t>
  </si>
  <si>
    <t>Team of Rivals: The Political Genius of Abraham Lincoln</t>
  </si>
  <si>
    <t>Doris Kearns Goodwin, Suzanne Toren</t>
  </si>
  <si>
    <t>Dead in the Family</t>
  </si>
  <si>
    <t>La peste</t>
  </si>
  <si>
    <t>Albert Camus, Stuart Gilbert</t>
  </si>
  <si>
    <t>The Reptile Room</t>
  </si>
  <si>
    <t>Lemony Snicket, Brett Helquist</t>
  </si>
  <si>
    <t>Brain on Fire</t>
  </si>
  <si>
    <t>Susannah Cahalan</t>
  </si>
  <si>
    <t xml:space="preserve">Wicked Lovely </t>
  </si>
  <si>
    <t>Melissa Marr</t>
  </si>
  <si>
    <t>Curious George</t>
  </si>
  <si>
    <t>H.A. Rey</t>
  </si>
  <si>
    <t>Die unendliche Geschichte</t>
  </si>
  <si>
    <t>Michael Ende, Ralph Manheim, Roswitha Quadflieg</t>
  </si>
  <si>
    <t>A Beautiful Mind</t>
  </si>
  <si>
    <t>Sylvia Nasar</t>
  </si>
  <si>
    <t>The Jungle</t>
  </si>
  <si>
    <t>Upton Sinclair, Earl Lee, Kathleen DeGrave</t>
  </si>
  <si>
    <t>The Summoning</t>
  </si>
  <si>
    <t>Kelley Armstrong</t>
  </si>
  <si>
    <t>The Man Who Mistook His Wife for a Hat and Other Clinical Tales</t>
  </si>
  <si>
    <t>Oliver Sacks</t>
  </si>
  <si>
    <t>Storm Island</t>
  </si>
  <si>
    <t>The Blind Assassin</t>
  </si>
  <si>
    <t>Hollow City</t>
  </si>
  <si>
    <t>Ransom Riggs</t>
  </si>
  <si>
    <t>House of Sand and Fog</t>
  </si>
  <si>
    <t>Andre Dubus III</t>
  </si>
  <si>
    <t>The Girl with All the Gifts</t>
  </si>
  <si>
    <t>M.R. Carey</t>
  </si>
  <si>
    <t>As I Lay Dying</t>
  </si>
  <si>
    <t>Harold and the Purple Crayon</t>
  </si>
  <si>
    <t>Crockett Johnson</t>
  </si>
  <si>
    <t>Lover Eternal (Black Dagger Brotherhood, #2)</t>
  </si>
  <si>
    <t xml:space="preserve">Fool Moon </t>
  </si>
  <si>
    <t>Jim Butcher</t>
  </si>
  <si>
    <t>David and Goliath</t>
  </si>
  <si>
    <t>Malcolm Gladwell</t>
  </si>
  <si>
    <t>Ã©â€¹Â¼Ã£ÂÂ®Ã©Å’Â¬Ã©â€¡â€˜Ã¨Â¡â€œÃ¥Â¸Â« 1</t>
  </si>
  <si>
    <t>Hiromu Arakawa, Akira Watanabe</t>
  </si>
  <si>
    <t>Guards! Guards!</t>
  </si>
  <si>
    <t>The Year of Magical Thinking</t>
  </si>
  <si>
    <t>Joan Didion</t>
  </si>
  <si>
    <t>We Need to Talk About Kevin</t>
  </si>
  <si>
    <t>Lionel Shriver</t>
  </si>
  <si>
    <t>Rendezvous with Rama</t>
  </si>
  <si>
    <t>Arthur C. Clarke</t>
  </si>
  <si>
    <t>The Queen of the Damned</t>
  </si>
  <si>
    <t>The Age of Innocence</t>
  </si>
  <si>
    <t>Edith Wharton, Maureen Howard</t>
  </si>
  <si>
    <t>The Selfish Gene</t>
  </si>
  <si>
    <t>Richard Dawkins</t>
  </si>
  <si>
    <t>Year of Wonders: A Novel of the Plague</t>
  </si>
  <si>
    <t>Geraldine Brooks</t>
  </si>
  <si>
    <t>The Black Echo</t>
  </si>
  <si>
    <t>Michael Connelly</t>
  </si>
  <si>
    <t>Anthem</t>
  </si>
  <si>
    <t>Ayn Rand</t>
  </si>
  <si>
    <t>Gabriel's Inferno</t>
  </si>
  <si>
    <t>Sylvain Reynard</t>
  </si>
  <si>
    <t>Cloudy with a Chance of Meatballs</t>
  </si>
  <si>
    <t>Judi Barrett, Ron Barrett</t>
  </si>
  <si>
    <t>Major Pettigrew's Last Stand</t>
  </si>
  <si>
    <t>Helen Simonson</t>
  </si>
  <si>
    <t>Vision in White</t>
  </si>
  <si>
    <t>Nora Roberts</t>
  </si>
  <si>
    <t>The Tenth Circle</t>
  </si>
  <si>
    <t>The Throne of Fire</t>
  </si>
  <si>
    <t>Old Man's War</t>
  </si>
  <si>
    <t>John Scalzi</t>
  </si>
  <si>
    <t>Gerald's Game</t>
  </si>
  <si>
    <t>Two for the Dough</t>
  </si>
  <si>
    <t>Janet Evanovich</t>
  </si>
  <si>
    <t>The Joy of Cooking</t>
  </si>
  <si>
    <t>Irma S. Rombauer, Marion Rombauer Becker, Ethan Becker</t>
  </si>
  <si>
    <t>The Forever War</t>
  </si>
  <si>
    <t>Joe Haldeman</t>
  </si>
  <si>
    <t>Insomnia</t>
  </si>
  <si>
    <t>Stephen King, Bettina Blanch Tyroller</t>
  </si>
  <si>
    <t>Reading Lolita in Tehran: A Memoir in Books</t>
  </si>
  <si>
    <t>Azar Nafisi</t>
  </si>
  <si>
    <t>The Blade Itself</t>
  </si>
  <si>
    <t>Joe Abercrombie</t>
  </si>
  <si>
    <t>The Arctic Incident</t>
  </si>
  <si>
    <t>Eoin Colfer</t>
  </si>
  <si>
    <t>The Shipping News</t>
  </si>
  <si>
    <t>Annie Proulx</t>
  </si>
  <si>
    <t>Ã¤ÂºÂºÃ§â€Å¸Ã£ÂÅ’Ã£ÂÂ¨Ã£ÂÂÃ£â€šÂÃ£ÂÂÃ§â€°â€¡Ã£ÂÂ¥Ã£Ââ€˜Ã£ÂÂ®Ã©Â­â€Ã¦Â³â€¢</t>
  </si>
  <si>
    <t>Marie KondÃ…Â, Cathy Hirano</t>
  </si>
  <si>
    <t>All the Bright Places</t>
  </si>
  <si>
    <t>Jennifer Niven, Ã™ÂÃ˜Â±Ã˜Â§Ã™â€ ÃšÂ© Ã™â€¦Ã˜Â¹Ã™â€ Ã™Ë†Ã›Å’</t>
  </si>
  <si>
    <t>DÃƒÂ©jÃƒÂ  Dead</t>
  </si>
  <si>
    <t>Kathy Reichs</t>
  </si>
  <si>
    <t>The Alchemyst: The Secrets of The Immortal Nicholas Flamel</t>
  </si>
  <si>
    <t>Michael Scott</t>
  </si>
  <si>
    <t>The Marriage Plot</t>
  </si>
  <si>
    <t>Hija de la fortuna</t>
  </si>
  <si>
    <t>Isabel Allende, Margaret Sayers Peden</t>
  </si>
  <si>
    <t>Luckiest Girl Alive</t>
  </si>
  <si>
    <t>Jessica Knoll</t>
  </si>
  <si>
    <t>Crank (Crank, #1)</t>
  </si>
  <si>
    <t>Ellen Hopkins</t>
  </si>
  <si>
    <t>The Raven Boys</t>
  </si>
  <si>
    <t>Maggie Stiefvater</t>
  </si>
  <si>
    <t>I Am Legend and Other Stories</t>
  </si>
  <si>
    <t>Richard Matheson</t>
  </si>
  <si>
    <t>Olive Kitteridge</t>
  </si>
  <si>
    <t>Elizabeth Strout</t>
  </si>
  <si>
    <t>Not that Kind of Girl</t>
  </si>
  <si>
    <t>Lena Dunham, Joana Avillez</t>
  </si>
  <si>
    <t>Good to Great: Why Some Companies Make the Leap... and Others Don't</t>
  </si>
  <si>
    <t>James C. Collins</t>
  </si>
  <si>
    <t>Fire</t>
  </si>
  <si>
    <t>Kristin Cashore</t>
  </si>
  <si>
    <t>En attendant Godot</t>
  </si>
  <si>
    <t>Samuel Beckett</t>
  </si>
  <si>
    <t>White Fang</t>
  </si>
  <si>
    <t>Jack London</t>
  </si>
  <si>
    <t>Wolves of the Calla</t>
  </si>
  <si>
    <t>Stephen King, Bernie Wrightson</t>
  </si>
  <si>
    <t>His Dark Materials</t>
  </si>
  <si>
    <t>Philip Pullman</t>
  </si>
  <si>
    <t>The Edge of Never</t>
  </si>
  <si>
    <t>J.A. Redmerski</t>
  </si>
  <si>
    <t>Reconstructing Amelia</t>
  </si>
  <si>
    <t>Kimberly McCreight</t>
  </si>
  <si>
    <t>The One Plus One</t>
  </si>
  <si>
    <t>The Hours</t>
  </si>
  <si>
    <t>Michael Cunningham</t>
  </si>
  <si>
    <t>Wallbanger</t>
  </si>
  <si>
    <t>Alice Clayton</t>
  </si>
  <si>
    <t>Holidays on Ice</t>
  </si>
  <si>
    <t>Desperation</t>
  </si>
  <si>
    <t>Passion</t>
  </si>
  <si>
    <t>The Kill Order</t>
  </si>
  <si>
    <t>James Dashner</t>
  </si>
  <si>
    <t>Angelfall</t>
  </si>
  <si>
    <t>Susan Ee</t>
  </si>
  <si>
    <t>Empire Falls</t>
  </si>
  <si>
    <t>Richard Russo</t>
  </si>
  <si>
    <t>The Fires of Heaven</t>
  </si>
  <si>
    <t>I'll Give You the Sun</t>
  </si>
  <si>
    <t>Jandy Nelson</t>
  </si>
  <si>
    <t>Survivor</t>
  </si>
  <si>
    <t>Shopaholic and Baby</t>
  </si>
  <si>
    <t>The Dark Tower</t>
  </si>
  <si>
    <t>Twilight Director's Notebook</t>
  </si>
  <si>
    <t>Catherine Hardwicke</t>
  </si>
  <si>
    <t>Shopaholic Abroad</t>
  </si>
  <si>
    <t>Surely You're Joking, Mr. Feynman! Adventures of a Curious Character</t>
  </si>
  <si>
    <t>Richard Feynman</t>
  </si>
  <si>
    <t>Linger</t>
  </si>
  <si>
    <t>The Complete Anne of Green Gables Boxed Set</t>
  </si>
  <si>
    <t>L.M. Montgomery</t>
  </si>
  <si>
    <t>A Portrait of the Artist as a Young Man</t>
  </si>
  <si>
    <t>James Joyce, Seamus Deane</t>
  </si>
  <si>
    <t>The Gathering Storm</t>
  </si>
  <si>
    <t>Robert Jordan, Brandon Sanderson</t>
  </si>
  <si>
    <t>Middlemarch</t>
  </si>
  <si>
    <t>George Eliot, Michel Faber</t>
  </si>
  <si>
    <t>Point of Retreat</t>
  </si>
  <si>
    <t>The Partner</t>
  </si>
  <si>
    <t>The Hobbit and The Lord of the Rings</t>
  </si>
  <si>
    <t>J.R.R. Tolkien</t>
  </si>
  <si>
    <t>Thoughtless</t>
  </si>
  <si>
    <t>S.C. Stephens</t>
  </si>
  <si>
    <t>Presumed Innocent</t>
  </si>
  <si>
    <t>Scott Turow</t>
  </si>
  <si>
    <t>The Dark Half</t>
  </si>
  <si>
    <t>Cleopatra: A Life</t>
  </si>
  <si>
    <t>Stacy Schiff</t>
  </si>
  <si>
    <t>The World Is Flat: A Brief History of the Twenty-first Century</t>
  </si>
  <si>
    <t>Thomas L. Friedman</t>
  </si>
  <si>
    <t>Steelheart</t>
  </si>
  <si>
    <t>Voyage au centre de la Terre</t>
  </si>
  <si>
    <t>Jules Verne</t>
  </si>
  <si>
    <t>The Happiness Project</t>
  </si>
  <si>
    <t>Gretchen Rubin</t>
  </si>
  <si>
    <t>The Man in the High Castle</t>
  </si>
  <si>
    <t>Philip K. Dick</t>
  </si>
  <si>
    <t>Helter Skelter: The True Story of The Manson Murders</t>
  </si>
  <si>
    <t>Vincent Bugliosi, Curt Gentry</t>
  </si>
  <si>
    <t>Inferno</t>
  </si>
  <si>
    <t>Dante Alighieri, Anthony M. Esolen</t>
  </si>
  <si>
    <t>Shadow of Night</t>
  </si>
  <si>
    <t>Deborah Harkness</t>
  </si>
  <si>
    <t>Leaving Time</t>
  </si>
  <si>
    <t>Moon Called</t>
  </si>
  <si>
    <t>Patricia Briggs</t>
  </si>
  <si>
    <t>Blue Bloods</t>
  </si>
  <si>
    <t>Melissa de la Cruz</t>
  </si>
  <si>
    <t>The Alienist</t>
  </si>
  <si>
    <t>Caleb Carr</t>
  </si>
  <si>
    <t>Between the World and Me</t>
  </si>
  <si>
    <t>Ta-Nehisi Coates</t>
  </si>
  <si>
    <t>Paradise Lost</t>
  </si>
  <si>
    <t>John Milton, John      Leonard</t>
  </si>
  <si>
    <t>The Big Short: Inside the Doomsday Machine</t>
  </si>
  <si>
    <t>Michael   Lewis</t>
  </si>
  <si>
    <t>The Girl Who Loved Tom Gordon</t>
  </si>
  <si>
    <t xml:space="preserve"> A Monster Calls </t>
  </si>
  <si>
    <t>Patrick Ness, Jim Kay, Siobhan Dowd</t>
  </si>
  <si>
    <t>Towers of Midnight</t>
  </si>
  <si>
    <t>The Day of the Jackal</t>
  </si>
  <si>
    <t>Frederick Forsyth</t>
  </si>
  <si>
    <t>Rework</t>
  </si>
  <si>
    <t>Jason Fried, David Heinemeier Hansson</t>
  </si>
  <si>
    <t>Attachments</t>
  </si>
  <si>
    <t>The Twilight Saga</t>
  </si>
  <si>
    <t>Stephenie Meyer, Ilyana Kadushin, Matt Walters</t>
  </si>
  <si>
    <t>Tell the Wolves I'm Home</t>
  </si>
  <si>
    <t>Carol Rifka Brunt</t>
  </si>
  <si>
    <t>All Creatures Great And Small</t>
  </si>
  <si>
    <t>James Herriot</t>
  </si>
  <si>
    <t>The Unbecoming of Mara Dyer</t>
  </si>
  <si>
    <t>Michelle Hodkin</t>
  </si>
  <si>
    <t>Three to Get Deadly</t>
  </si>
  <si>
    <t>The Scarlet Pimpernel</t>
  </si>
  <si>
    <t>Emmuska Orczy</t>
  </si>
  <si>
    <t>The Monster at the End of This Book</t>
  </si>
  <si>
    <t>Jon Stone, Michael J. Smollin</t>
  </si>
  <si>
    <t>Tales of a Fourth Grade Nothing</t>
  </si>
  <si>
    <t>Shadow and Bone</t>
  </si>
  <si>
    <t>Leigh Bardugo</t>
  </si>
  <si>
    <t>Het diner</t>
  </si>
  <si>
    <t>Herman Koch, Sam Garrett</t>
  </si>
  <si>
    <t>Champion</t>
  </si>
  <si>
    <t>Contact</t>
  </si>
  <si>
    <t>Carl Sagan</t>
  </si>
  <si>
    <t>Lola and the Boy Next Door</t>
  </si>
  <si>
    <t>Stephanie Perkins</t>
  </si>
  <si>
    <t>White Teeth</t>
  </si>
  <si>
    <t>Zadie Smith</t>
  </si>
  <si>
    <t>American Sniper: The Autobiography of the Most Lethal Sniper in U.S. Military History</t>
  </si>
  <si>
    <t>Chris Kyle, Scott McEwen, Jim DeFelice</t>
  </si>
  <si>
    <t>My Horizontal Life: A Collection of One-Night Stands</t>
  </si>
  <si>
    <t>The Power of Six</t>
  </si>
  <si>
    <t>Pittacus Lore</t>
  </si>
  <si>
    <t>The Interestings</t>
  </si>
  <si>
    <t>Meg Wolitzer</t>
  </si>
  <si>
    <t>The Essential Calvin and Hobbes: A Calvin and Hobbes Treasury</t>
  </si>
  <si>
    <t>Bill Watterson</t>
  </si>
  <si>
    <t>People of the Book</t>
  </si>
  <si>
    <t>The Secret Keeper</t>
  </si>
  <si>
    <t>Better Homes &amp; Gardens New Cook Book</t>
  </si>
  <si>
    <t>Better Homes and Gardens</t>
  </si>
  <si>
    <t>So Long, and Thanks for All the Fish</t>
  </si>
  <si>
    <t>Der Steppenwolf: ErzÃƒÂ¤hlung</t>
  </si>
  <si>
    <t>Hermann Hesse, Basil Creighton</t>
  </si>
  <si>
    <t>The Surgeon</t>
  </si>
  <si>
    <t>Tess Gerritsen</t>
  </si>
  <si>
    <t>The Girl You Left Behind</t>
  </si>
  <si>
    <t>Royal Assassin</t>
  </si>
  <si>
    <t>Childhood's End</t>
  </si>
  <si>
    <t xml:space="preserve"> The Tale of Despereaux</t>
  </si>
  <si>
    <t>Kate DiCamillo, Timothy Basil Ering</t>
  </si>
  <si>
    <t>Animal, Vegetable, Miracle: A Year of Food Life</t>
  </si>
  <si>
    <t>Barbara Kingsolver, Steven L. Hopp, Camille Kingsolver, Richard A. Houser</t>
  </si>
  <si>
    <t>Heir of Fire</t>
  </si>
  <si>
    <t>The Sweetness at the Bottom of the Pie</t>
  </si>
  <si>
    <t>Alan Bradley</t>
  </si>
  <si>
    <t>Blue Like Jazz: Nonreligious Thoughts on Christian Spirituality</t>
  </si>
  <si>
    <t>Donald Miller</t>
  </si>
  <si>
    <t>A Breath of Snow and Ashes</t>
  </si>
  <si>
    <t>The Blood of Olympus</t>
  </si>
  <si>
    <t>Truly Madly Guilty</t>
  </si>
  <si>
    <t>Liane Moriarty</t>
  </si>
  <si>
    <t>Saga, Volume One</t>
  </si>
  <si>
    <t>Brian K. Vaughan, Fiona Staples</t>
  </si>
  <si>
    <t>The Art of Fielding</t>
  </si>
  <si>
    <t>Chad Harbach</t>
  </si>
  <si>
    <t>A Moveable Feast</t>
  </si>
  <si>
    <t>Ernest Hemingway</t>
  </si>
  <si>
    <t>Fablehaven</t>
  </si>
  <si>
    <t>Brandon Mull</t>
  </si>
  <si>
    <t>The Wide Window</t>
  </si>
  <si>
    <t>Grave Peril</t>
  </si>
  <si>
    <t>Einstein. His Life and Universe</t>
  </si>
  <si>
    <t>Walter Isaacson</t>
  </si>
  <si>
    <t>Effortless</t>
  </si>
  <si>
    <t>The Street Lawyer</t>
  </si>
  <si>
    <t>Roll of Thunder, Hear My Cry</t>
  </si>
  <si>
    <t>Mildred D. Taylor</t>
  </si>
  <si>
    <t>Pride and Prejudice and Zombies</t>
  </si>
  <si>
    <t>Seth Grahame-Smith, Jane Austen</t>
  </si>
  <si>
    <t>Lets Explore Diabetes with Owls</t>
  </si>
  <si>
    <t>ÃËœÃÂ´ÃÂ¸ÃÂ¾Ã‘â€š</t>
  </si>
  <si>
    <t>Fyodor Dostoyevsky, Constance Garnett, Alan Myers, Joseph Frank, Anna Brailovsky</t>
  </si>
  <si>
    <t>Dirk Gently's Holistic Detective Agency</t>
  </si>
  <si>
    <t>Rodrick Rules</t>
  </si>
  <si>
    <t>Jeff Kinney</t>
  </si>
  <si>
    <t>Why Not Me?</t>
  </si>
  <si>
    <t>Mindy Kaling</t>
  </si>
  <si>
    <t>Four: A Divergent Collection</t>
  </si>
  <si>
    <t>Veronica Roth</t>
  </si>
  <si>
    <t>Modern Romance</t>
  </si>
  <si>
    <t>Aziz Ansari, Eric Klinenberg</t>
  </si>
  <si>
    <t>The One and Only Ivan</t>
  </si>
  <si>
    <t>Katherine Applegate, Patricia Castelao</t>
  </si>
  <si>
    <t>The Perfect Storm: A True Story of Men Against the Sea</t>
  </si>
  <si>
    <t>Sebastian Junger</t>
  </si>
  <si>
    <t>Elantris</t>
  </si>
  <si>
    <t>The Knife of Never Letting Go</t>
  </si>
  <si>
    <t>Patrick Ness</t>
  </si>
  <si>
    <t>One Thousand White Women: The Journals of May Dodd</t>
  </si>
  <si>
    <t>Jim Fergus</t>
  </si>
  <si>
    <t>Handle with Care</t>
  </si>
  <si>
    <t>Song of Susannah</t>
  </si>
  <si>
    <t>Stephen King, Darrel Anderson</t>
  </si>
  <si>
    <t>Reached</t>
  </si>
  <si>
    <t>Midnight's Children</t>
  </si>
  <si>
    <t>Salman Rushdie</t>
  </si>
  <si>
    <t>The Zombie Survival Guide: Complete Protection from the Living Dead</t>
  </si>
  <si>
    <t>Max Brooks</t>
  </si>
  <si>
    <t>The Testament</t>
  </si>
  <si>
    <t>Murder at the Vicarage</t>
  </si>
  <si>
    <t xml:space="preserve">Among the Hidden </t>
  </si>
  <si>
    <t>Margaret Peterson Haddix</t>
  </si>
  <si>
    <t>In Defense of Food: An Eater's Manifesto</t>
  </si>
  <si>
    <t>The Witch of Blackbird Pond</t>
  </si>
  <si>
    <t>Elizabeth George Speare</t>
  </si>
  <si>
    <t>The Heir</t>
  </si>
  <si>
    <t>Kiera Cass</t>
  </si>
  <si>
    <t>Shopaholic Ties the Knot</t>
  </si>
  <si>
    <t>The Woman in White</t>
  </si>
  <si>
    <t>Wilkie Collins, Matthew Sweet</t>
  </si>
  <si>
    <t>Career of Evil</t>
  </si>
  <si>
    <t>The Summer I Turned Pretty</t>
  </si>
  <si>
    <t xml:space="preserve">Four to Score </t>
  </si>
  <si>
    <t>The Color of Water: A Black Man's Tribute to His White Mother</t>
  </si>
  <si>
    <t>James McBride</t>
  </si>
  <si>
    <t>SuperFreakonomics: Global Cooling, Patriotic Prostitutes, and Why Suicide Bombers Should Buy Life Insurance</t>
  </si>
  <si>
    <t>Steven D. Levitt, Stephen J. Dubner</t>
  </si>
  <si>
    <t>Darkfever</t>
  </si>
  <si>
    <t>Karen Marie Moning</t>
  </si>
  <si>
    <t>Stone of Tears</t>
  </si>
  <si>
    <t>Terry Goodkind</t>
  </si>
  <si>
    <t>Heart of the Matter</t>
  </si>
  <si>
    <t>Vanity Fair: A Novel Without a Hero</t>
  </si>
  <si>
    <t>William Makepeace Thackeray, John Carey</t>
  </si>
  <si>
    <t>The Sirens of Titan</t>
  </si>
  <si>
    <t>Kurt Vonnegut Jr.</t>
  </si>
  <si>
    <t>Dolores Claiborne</t>
  </si>
  <si>
    <t>Stephen King, Dominique Dill</t>
  </si>
  <si>
    <t>The Nest</t>
  </si>
  <si>
    <t>Cynthia D'Aprix Sweeney</t>
  </si>
  <si>
    <t>Fables, Volume 1: Legends in Exile</t>
  </si>
  <si>
    <t>Bill Willingham, Lan Medina, Steve Leialoha, Craig Hamilton, James Jean</t>
  </si>
  <si>
    <t>Getting Things Done: How To Achieve Stress-free Productivity</t>
  </si>
  <si>
    <t>David    Allen</t>
  </si>
  <si>
    <t>The Celestine Prophecy</t>
  </si>
  <si>
    <t>James Redfield</t>
  </si>
  <si>
    <t xml:space="preserve">My Life Next Door </t>
  </si>
  <si>
    <t>Huntley Fitzpatrick</t>
  </si>
  <si>
    <t>Winter of the World</t>
  </si>
  <si>
    <t>Ã¨â€°Â²Ã¥Â½Â©Ã£â€šâ€™Ã¦Å’ÂÃ£ÂÅ¸Ã£ÂÂªÃ£Ââ€žÃ¥Â¤Å¡Ã¥Â´Å½Ã£ÂÂ¤Ã£ÂÂÃ£â€šâ€¹Ã£ÂÂ¨Ã£â‚¬ÂÃ¥Â½Â¼Ã£ÂÂ®Ã¥Â·Â¡Ã§Â¤Â¼Ã£ÂÂ®Ã¥Â¹Â´ [Shikisai o motanai Tazaki Tsukuru to, kare no junrei no toshi]</t>
  </si>
  <si>
    <t>Haruki Murakami, Philip Gabriel</t>
  </si>
  <si>
    <t>Lucky</t>
  </si>
  <si>
    <t>Alice Sebold</t>
  </si>
  <si>
    <t xml:space="preserve">To The Lighthouse </t>
  </si>
  <si>
    <t>Virginia Woolf</t>
  </si>
  <si>
    <t>Five Point Someone: What Not to Do at IIT</t>
  </si>
  <si>
    <t>Chetan Bhagat</t>
  </si>
  <si>
    <t>Guilty Pleasures</t>
  </si>
  <si>
    <t>Laurell K. Hamilton</t>
  </si>
  <si>
    <t>The Messenger</t>
  </si>
  <si>
    <t>Markus Zusak</t>
  </si>
  <si>
    <t>Far from the Madding Crowd</t>
  </si>
  <si>
    <t>Thomas Hardy, Rosemarie Morgan, Shannon Russell</t>
  </si>
  <si>
    <t>Equal Rites</t>
  </si>
  <si>
    <t>House of Leaves</t>
  </si>
  <si>
    <t>Mark Z. Danielewski</t>
  </si>
  <si>
    <t>Cruel &amp; Unusual</t>
  </si>
  <si>
    <t>Patricia Cornwell</t>
  </si>
  <si>
    <t>nl</t>
  </si>
  <si>
    <t>Sycamore Row</t>
  </si>
  <si>
    <t>Awakened</t>
  </si>
  <si>
    <t>My ÃƒÂntonia</t>
  </si>
  <si>
    <t>Willa Cather</t>
  </si>
  <si>
    <t>Life As We Knew It</t>
  </si>
  <si>
    <t>Susan Beth Pfeffer</t>
  </si>
  <si>
    <t>America (The Book): A Citizen's Guide to Democracy Inaction</t>
  </si>
  <si>
    <t>Jon Stewart, Ben Karlin, David Javerbaum, Rich Bloomquist, Steve Bodow, Tim Carvell, Eric Drysdale, J.R. Havlan, Scott Jacobson, Tom Johnson, Rob Kutner, Chris Regan, Jason Reich, Jason Ross, Stephen Colbert, Samantha Bee, Rob Corddry, Brendan Hay, Ed Helms</t>
  </si>
  <si>
    <t>90 Minutes in Heaven</t>
  </si>
  <si>
    <t>Don Piper, Cecil Murphey</t>
  </si>
  <si>
    <t>The Longest Ride</t>
  </si>
  <si>
    <t>Ã©Ââ€œÃ¥Â¾Â·Ã§Â¶â€œ [dÃƒÂ o dÃƒÂ© jÃ„Â«ng]</t>
  </si>
  <si>
    <t>Lao Tzu, Gia-Fu Feng, Jane English, Chungliang Al Huang, Rowena Pattee Kryder, Toinette Lippe</t>
  </si>
  <si>
    <t>Kane and Abel</t>
  </si>
  <si>
    <t>Jeffrey Archer</t>
  </si>
  <si>
    <t>Change of Heart</t>
  </si>
  <si>
    <t>Dry: A Memoir</t>
  </si>
  <si>
    <t>Augusten Burroughs</t>
  </si>
  <si>
    <t>Sam's Letters To Jennifer</t>
  </si>
  <si>
    <t>Grey</t>
  </si>
  <si>
    <t xml:space="preserve">Dune Messiah </t>
  </si>
  <si>
    <t>Frank Herbert</t>
  </si>
  <si>
    <t>The Great Divorce</t>
  </si>
  <si>
    <t>Little Earthquakes</t>
  </si>
  <si>
    <t>Jennifer Weiner</t>
  </si>
  <si>
    <t>Eventyr og historier</t>
  </si>
  <si>
    <t>Hans Christian Andersen, Lily Owens, Arthur Rackham, Hans Richter</t>
  </si>
  <si>
    <t>New Moon: The Complete Illustrated Movie Companion</t>
  </si>
  <si>
    <t>Maybe Someday</t>
  </si>
  <si>
    <t>Mr Maybe</t>
  </si>
  <si>
    <t>Anne of the Island</t>
  </si>
  <si>
    <t>Also sprach Zarathustra</t>
  </si>
  <si>
    <t>Friedrich Nietzsche, Walter Kaufmann</t>
  </si>
  <si>
    <t>North and South</t>
  </si>
  <si>
    <t>Elizabeth Gaskell, Alan Shelston</t>
  </si>
  <si>
    <t>A Stolen Life</t>
  </si>
  <si>
    <t>Jaycee Dugard</t>
  </si>
  <si>
    <t>The Immortals of Meluha</t>
  </si>
  <si>
    <t>Amish Tripathi</t>
  </si>
  <si>
    <t>The Lost World</t>
  </si>
  <si>
    <t>Requiem</t>
  </si>
  <si>
    <t>Lauren Oliver</t>
  </si>
  <si>
    <t>A Crown of Swords</t>
  </si>
  <si>
    <t>Aesopica</t>
  </si>
  <si>
    <t>Aesop, Laura Harris, Laura Gibbs</t>
  </si>
  <si>
    <t>Blood Meridian: Or the Evening Redness in the West</t>
  </si>
  <si>
    <t>Finale</t>
  </si>
  <si>
    <t>Skeleton Crew</t>
  </si>
  <si>
    <t>Lullaby</t>
  </si>
  <si>
    <t>Two States</t>
  </si>
  <si>
    <t>Ã£Æ’Â´Ã£â€šÂ¡Ã£Æ’Â³Ã£Æ’â€˜Ã£â€šÂ¤Ã£â€šÂ¢Ã©Â¨Å½Ã¥Â£Â« 1</t>
  </si>
  <si>
    <t>Matsuri Hino, Tomo Kimura</t>
  </si>
  <si>
    <t>Summer Knight</t>
  </si>
  <si>
    <t>Dragonflight</t>
  </si>
  <si>
    <t>Anne McCaffrey, Teodor PanasiÃ…â€žski</t>
  </si>
  <si>
    <t>The History of the Hobbit, Part One: Mr. Baggins</t>
  </si>
  <si>
    <t>John D. Rateliff, J.R.R. Tolkien</t>
  </si>
  <si>
    <t>Ugly Love</t>
  </si>
  <si>
    <t>Chocolat</t>
  </si>
  <si>
    <t>Joanne Harris</t>
  </si>
  <si>
    <t>The Amityville Horror</t>
  </si>
  <si>
    <t>Jay Anson</t>
  </si>
  <si>
    <t>The English Patient</t>
  </si>
  <si>
    <t>Michael Ondaatje</t>
  </si>
  <si>
    <t>Gabriel's Rapture</t>
  </si>
  <si>
    <t>Dubliners</t>
  </si>
  <si>
    <t>James Joyce, Jeri Johnson</t>
  </si>
  <si>
    <t>Let the Great World Spin</t>
  </si>
  <si>
    <t>Colum McCann</t>
  </si>
  <si>
    <t>The Eternity Code</t>
  </si>
  <si>
    <t>Tell No One</t>
  </si>
  <si>
    <t>Harlan Coben</t>
  </si>
  <si>
    <t>The Tommyknockers</t>
  </si>
  <si>
    <t>Hex Hall</t>
  </si>
  <si>
    <t>Rachel Hawkins</t>
  </si>
  <si>
    <t>Steal Like an Artist</t>
  </si>
  <si>
    <t>Austin Kleon</t>
  </si>
  <si>
    <t>Cryptonomicon</t>
  </si>
  <si>
    <t>Neal Stephenson</t>
  </si>
  <si>
    <t>Beautiful Bastard</t>
  </si>
  <si>
    <t>Christina Lauren</t>
  </si>
  <si>
    <t>Prodigal Summer</t>
  </si>
  <si>
    <t>We Were the Mulvaneys</t>
  </si>
  <si>
    <t>Joyce Carol Oates</t>
  </si>
  <si>
    <t>Understanding Comics: The Invisible Art</t>
  </si>
  <si>
    <t>Scott McCloud</t>
  </si>
  <si>
    <t>Beautiful Darkness</t>
  </si>
  <si>
    <t>Kami Garcia, Margaret Stohl</t>
  </si>
  <si>
    <t>The Psychopath Test</t>
  </si>
  <si>
    <t>Jon Ronson</t>
  </si>
  <si>
    <t>Vanishing Acts</t>
  </si>
  <si>
    <t>Absolute Power</t>
  </si>
  <si>
    <t>David Baldacci</t>
  </si>
  <si>
    <t>Hot Six</t>
  </si>
  <si>
    <t>The Time Keeper</t>
  </si>
  <si>
    <t>A Dirty Job</t>
  </si>
  <si>
    <t>Moneyball: The Art of Winning an Unfair Game</t>
  </si>
  <si>
    <t>The Amulet of Samarkand</t>
  </si>
  <si>
    <t>Jonathan Stroud</t>
  </si>
  <si>
    <t>I Am America (And So Can You!)</t>
  </si>
  <si>
    <t>Stephen Colbert, Richard Dahm, Paul Dinello, Allison Silverman, Michael Brumm, Eric Drydale, Rob Dubbin, Glenn Eichler, Peter Grosz, Peter Gwinn, Jay Katsir, Laura Krafft, Frank Lesser, Tom Purcell</t>
  </si>
  <si>
    <t>The One Minute Manager</t>
  </si>
  <si>
    <t>Kenneth H. Blanchard, Spencer Johnson</t>
  </si>
  <si>
    <t>Exodus</t>
  </si>
  <si>
    <t>Leon Uris</t>
  </si>
  <si>
    <t>Stones from the River</t>
  </si>
  <si>
    <t>Ursula Hegi</t>
  </si>
  <si>
    <t>The Big Sleep</t>
  </si>
  <si>
    <t>Raymond Chandler</t>
  </si>
  <si>
    <t xml:space="preserve">Cannery Row </t>
  </si>
  <si>
    <t>Seriously...I'm Kidding</t>
  </si>
  <si>
    <t>Ellen DeGeneres</t>
  </si>
  <si>
    <t>The Miserable Mill</t>
  </si>
  <si>
    <t>The Snow Child</t>
  </si>
  <si>
    <t>Eowyn Ivey</t>
  </si>
  <si>
    <t>Wait for You</t>
  </si>
  <si>
    <t>J. Lynn, Jennifer L. Armentrout</t>
  </si>
  <si>
    <t>The Last Straw</t>
  </si>
  <si>
    <t>La Divina Commedia</t>
  </si>
  <si>
    <t>Dante Alighieri, Allen Mandelbaum, Eugenio Montale</t>
  </si>
  <si>
    <t>The Tao of Pooh</t>
  </si>
  <si>
    <t>Benjamin Hoff, Ernest H. Shepard</t>
  </si>
  <si>
    <t>Onyx</t>
  </si>
  <si>
    <t>Unravel Me (Shatter Me, #2)</t>
  </si>
  <si>
    <t>The Birth of Venus</t>
  </si>
  <si>
    <t>Sarah Dunant</t>
  </si>
  <si>
    <t>The Opal Deception</t>
  </si>
  <si>
    <t>Det som inte dÃƒÂ¶dar oss</t>
  </si>
  <si>
    <t>David Lagercrantz, Stieg Larsson, George Goulding</t>
  </si>
  <si>
    <t>The Girls</t>
  </si>
  <si>
    <t>Emma Cline</t>
  </si>
  <si>
    <t>The Goose Girl</t>
  </si>
  <si>
    <t>Shannon Hale</t>
  </si>
  <si>
    <t>Mystic River</t>
  </si>
  <si>
    <t>Warm Bodies</t>
  </si>
  <si>
    <t>Isaac Marion</t>
  </si>
  <si>
    <t>The Prince and the Pauper</t>
  </si>
  <si>
    <t>Mark Twain, Everett H. Emerson</t>
  </si>
  <si>
    <t>The Moon is a Harsh Mistress</t>
  </si>
  <si>
    <t>The Forty Rules of Love</t>
  </si>
  <si>
    <t>Elif Shafak, Ã˜Â¥Ã™â€žÃ™Å Ã™Â Ã˜Â´Ã˜Â§Ã™ÂÃ˜Â§Ã™â€š, Ã˜Â§Ã˜Â±Ã˜Â³Ã™â€žÃ˜Â§Ã™â€  Ã™ÂÃ˜ÂµÃ›Å’Ã˜Â­Ã›Å’, Ã™â€¦Ã˜Â­Ã™â€¦Ã˜Â¯ Ã˜Â¯Ã˜Â±Ã™Ë†Ã™Å Ã˜Â´</t>
  </si>
  <si>
    <t>High Five</t>
  </si>
  <si>
    <t>Joyland</t>
  </si>
  <si>
    <t>Ã©â‚¬Â²Ã¦â€™Æ’Ã£ÂÂ®Ã¥Â·Â¨Ã¤ÂºÂº 1</t>
  </si>
  <si>
    <t>Hajime Isayama, Sheldon Drzka</t>
  </si>
  <si>
    <t>Tender Is the Night</t>
  </si>
  <si>
    <t>F. Scott Fitzgerald</t>
  </si>
  <si>
    <t>Cold Sassy Tree</t>
  </si>
  <si>
    <t>Olive Ann Burns</t>
  </si>
  <si>
    <t>The Glass Menagerie</t>
  </si>
  <si>
    <t>Tennessee Williams</t>
  </si>
  <si>
    <t>L'amica geniale</t>
  </si>
  <si>
    <t>Elena Ferrante, Ann Goldstein</t>
  </si>
  <si>
    <t>The 4-Hour Workweek: Escape 9-5, Live Anywhere, and Join the New Rich</t>
  </si>
  <si>
    <t>Timothy Ferriss</t>
  </si>
  <si>
    <t>The Monk Who Sold His Ferrari: A Fable About Fulfilling Your Dreams &amp; Reaching Your Destiny</t>
  </si>
  <si>
    <t>Robin S. Sharma</t>
  </si>
  <si>
    <t>Rules of Civility</t>
  </si>
  <si>
    <t>Amor Towles</t>
  </si>
  <si>
    <t>Ringworld</t>
  </si>
  <si>
    <t>Larry Niven</t>
  </si>
  <si>
    <t>Between Shades of Gray</t>
  </si>
  <si>
    <t>Ruta Sepetys</t>
  </si>
  <si>
    <t>Frindle</t>
  </si>
  <si>
    <t>Andrew Clements, Brian Selznick</t>
  </si>
  <si>
    <t>Dog Days</t>
  </si>
  <si>
    <t>The Round House</t>
  </si>
  <si>
    <t>Louise Erdrich</t>
  </si>
  <si>
    <t>A Wind in the Door</t>
  </si>
  <si>
    <t>Madeleine L'Engle</t>
  </si>
  <si>
    <t>Free Four: Tobias Tells the Divergent Story</t>
  </si>
  <si>
    <t>A Little Life</t>
  </si>
  <si>
    <t>Hanya Yanagihara</t>
  </si>
  <si>
    <t>Y: The Last Man, Vol. 1: Unmanned</t>
  </si>
  <si>
    <t>Brian K. Vaughan, Pia Guerra, JosÃƒÂ© MarzÃƒÂ¡n Jr.</t>
  </si>
  <si>
    <t>The Alloy of Law</t>
  </si>
  <si>
    <t>Dead Reckoning</t>
  </si>
  <si>
    <t>The Accidental Tourist</t>
  </si>
  <si>
    <t>Anne Tyler, Jennifer Bassett</t>
  </si>
  <si>
    <t>Aristotle and Dante Discover the Secrets of the Universe</t>
  </si>
  <si>
    <t>Benjamin Alire SÃƒÂ¡enz</t>
  </si>
  <si>
    <t>The Invisible Man</t>
  </si>
  <si>
    <t>H.G. Wells</t>
  </si>
  <si>
    <t>Ã¤Â¸â€“Ã§â€¢Å’Ã£ÂÂ®Ã§Âµâ€šÃ£â€šÅ Ã£ÂÂ¨Ã£Æ’ÂÃ£Æ’Â¼Ã£Æ’â€°Ã£Æ’Å“Ã£â€šÂ¤Ã£Æ’Â«Ã£Æ’â€°Ã£Æ’Â»Ã£Æ’Â¯Ã£Æ’Â³Ã£Æ’â‚¬Ã£Æ’Â¼Ã£Æ’Â©Ã£Æ’Â³Ã£Æ’â€° [Sekai no owari to hÃ„Âdoboirudo wandÃ„Ârando]</t>
  </si>
  <si>
    <t>Haruki Murakami, Alfred Birnbaum</t>
  </si>
  <si>
    <t>Na margem do rio Piedra eu sentei e chorei</t>
  </si>
  <si>
    <t>Paulo Coelho, Alan R. Clarke</t>
  </si>
  <si>
    <t>Der Schweizerische Robinson</t>
  </si>
  <si>
    <t>Johann David Wyss, Scott McKowen, Arthur Pober</t>
  </si>
  <si>
    <t>Four Past Midnight</t>
  </si>
  <si>
    <t>The Marriage Bargain</t>
  </si>
  <si>
    <t>Jennifer Probst</t>
  </si>
  <si>
    <t>Anne of Avonlea</t>
  </si>
  <si>
    <t>The Little Engine That Could</t>
  </si>
  <si>
    <t>Watty Piper, Doris Hauman, George Hauman</t>
  </si>
  <si>
    <t>We Are All Completely Beside Ourselves</t>
  </si>
  <si>
    <t>Karen Joy Fowler</t>
  </si>
  <si>
    <t>Children of the Mind</t>
  </si>
  <si>
    <t>Ulysses</t>
  </si>
  <si>
    <t>James Joyce</t>
  </si>
  <si>
    <t>Someone Like You</t>
  </si>
  <si>
    <t>Moloka'i</t>
  </si>
  <si>
    <t>Alan Brennert</t>
  </si>
  <si>
    <t>The Witching Hour</t>
  </si>
  <si>
    <t>This Present Darkness</t>
  </si>
  <si>
    <t>Frank E. Peretti</t>
  </si>
  <si>
    <t>The Coincidence of Callie &amp; Kayden</t>
  </si>
  <si>
    <t>Jessica Sorensen</t>
  </si>
  <si>
    <t>Fates and Furies</t>
  </si>
  <si>
    <t>Lauren Groff</t>
  </si>
  <si>
    <t>Summer Sisters</t>
  </si>
  <si>
    <t>Stuart Little</t>
  </si>
  <si>
    <t>E.B. White, Garth Williams</t>
  </si>
  <si>
    <t>The Foundation Trilogy</t>
  </si>
  <si>
    <t>The Elegant Universe: Superstrings, Hidden Dimensions, and the Quest for the Ultimate Theory</t>
  </si>
  <si>
    <t>Brian Greene</t>
  </si>
  <si>
    <t>The Austere Academy</t>
  </si>
  <si>
    <t>Seven Up</t>
  </si>
  <si>
    <t>Death Masks</t>
  </si>
  <si>
    <t>Stellaluna</t>
  </si>
  <si>
    <t>Janell Cannon</t>
  </si>
  <si>
    <t>Before They Are Hanged</t>
  </si>
  <si>
    <t>Loving Frank</t>
  </si>
  <si>
    <t>Nancy Horan</t>
  </si>
  <si>
    <t>Hard Eight</t>
  </si>
  <si>
    <t>Janet Evanovich, Lorelei King</t>
  </si>
  <si>
    <t>The Vile Village</t>
  </si>
  <si>
    <t>Sybil</t>
  </si>
  <si>
    <t>Flora Rheta Schreiber</t>
  </si>
  <si>
    <t>Cosmos</t>
  </si>
  <si>
    <t>Haunted: A Novel of Stories</t>
  </si>
  <si>
    <t>The Shell Seekers</t>
  </si>
  <si>
    <t>Rosamunde Pilcher</t>
  </si>
  <si>
    <t>What Is the What: The Autobiography of Valentino Achak Deng</t>
  </si>
  <si>
    <t>CrÃƒÂ³nica de una muerte anunciada</t>
  </si>
  <si>
    <t>Gabriel GarcÃƒÂ­a MÃƒÂ¡rquez, Gregory Rabassa</t>
  </si>
  <si>
    <t>A Scandal in Bohemia</t>
  </si>
  <si>
    <t>Ronald Holt, Arthur Conan Doyle</t>
  </si>
  <si>
    <t>Killing Lincoln: The Shocking Assassination that Changed America Forever</t>
  </si>
  <si>
    <t>Bill O'Reilly, Martin Dugard</t>
  </si>
  <si>
    <t>The Lowland</t>
  </si>
  <si>
    <t>The Ruins of Gorlan</t>
  </si>
  <si>
    <t>John Flanagan</t>
  </si>
  <si>
    <t>Wintergirls</t>
  </si>
  <si>
    <t>Laurie Halse Anderson</t>
  </si>
  <si>
    <t>The Brethren</t>
  </si>
  <si>
    <t>Assassin's Quest</t>
  </si>
  <si>
    <t>Rosemary's Baby</t>
  </si>
  <si>
    <t>Ira Levin</t>
  </si>
  <si>
    <t>The Talisman</t>
  </si>
  <si>
    <t>Stephen King, Peter Straub</t>
  </si>
  <si>
    <t>The Path of Daggers</t>
  </si>
  <si>
    <t>The Dharma Bums</t>
  </si>
  <si>
    <t>Jack Kerouac</t>
  </si>
  <si>
    <t>The Reckoning</t>
  </si>
  <si>
    <t>Behind the Beautiful Forevers: Life, Death, and Hope in a Mumbai Undercity</t>
  </si>
  <si>
    <t>Katherine Boo</t>
  </si>
  <si>
    <t>Mary Poppins</t>
  </si>
  <si>
    <t>P.L. Travers, Mary Shepard</t>
  </si>
  <si>
    <t>Red Seas Under Red Skies</t>
  </si>
  <si>
    <t>The House on Mango Street</t>
  </si>
  <si>
    <t>Sandra Cisneros</t>
  </si>
  <si>
    <t>City of Thieves</t>
  </si>
  <si>
    <t>David Benioff</t>
  </si>
  <si>
    <t>Halfway to the Grave</t>
  </si>
  <si>
    <t>Jeaniene Frost</t>
  </si>
  <si>
    <t>The Twits</t>
  </si>
  <si>
    <t>Roald Dahl, Quentin Blake</t>
  </si>
  <si>
    <t>Abhorsen</t>
  </si>
  <si>
    <t>The Beach House</t>
  </si>
  <si>
    <t>James Patterson, Peter de Jonge</t>
  </si>
  <si>
    <t>Eyes of the Dragon</t>
  </si>
  <si>
    <t>Children of Dune</t>
  </si>
  <si>
    <t>Leviathan Wakes</t>
  </si>
  <si>
    <t>James S.A. Corey</t>
  </si>
  <si>
    <t>Queen of Shadows</t>
  </si>
  <si>
    <t xml:space="preserve">Maus II : And Here My Troubles Began </t>
  </si>
  <si>
    <t>Art Spiegelman</t>
  </si>
  <si>
    <t>The Snowy Day</t>
  </si>
  <si>
    <t>Ezra Jack Keats</t>
  </si>
  <si>
    <t>To the Nines</t>
  </si>
  <si>
    <t>Where We Belong</t>
  </si>
  <si>
    <t>The Hot Zone: The Terrifying True Story of the Origins of the Ebola Virus</t>
  </si>
  <si>
    <t>Richard   Preston</t>
  </si>
  <si>
    <t>Ã£â€šÂ¹Ã£Æ’â€”Ã£Æ’Â¼Ã£Æ’Ë†Ã£Æ’â€¹Ã£â€šÂ¯Ã£ÂÂ®Ã¦Ââ€¹Ã¤ÂºÂº [SupÃ…Â«toniku no Koibito]</t>
  </si>
  <si>
    <t>The Signature of All Things</t>
  </si>
  <si>
    <t>Elizabeth Gilbert</t>
  </si>
  <si>
    <t>Eats, Shoots and Leaves</t>
  </si>
  <si>
    <t>Lynne Truss</t>
  </si>
  <si>
    <t>Dead Witch Walking</t>
  </si>
  <si>
    <t>Kim Harrison</t>
  </si>
  <si>
    <t>An Echo in the Bone</t>
  </si>
  <si>
    <t>Unearthly</t>
  </si>
  <si>
    <t>Cynthia Hand</t>
  </si>
  <si>
    <t>The Case for Christ</t>
  </si>
  <si>
    <t>Lee Strobel</t>
  </si>
  <si>
    <t>Knife of Dreams</t>
  </si>
  <si>
    <t>Hoot</t>
  </si>
  <si>
    <t>Carl Hiaasen</t>
  </si>
  <si>
    <t>Ãƒâ€ neis</t>
  </si>
  <si>
    <t>Virgil, Robert Fitzgerald</t>
  </si>
  <si>
    <t>This is How You Lose Her</t>
  </si>
  <si>
    <t>Junot DÃƒÂ­az</t>
  </si>
  <si>
    <t>Ã£â€šÂ¢Ã£Æ’â€¢Ã£â€šÂ¿Ã£Æ’Â¼Ã£Æ’â‚¬Ã£Æ’Â¼Ã£â€šÂ¯ [AfutÃ„Â dÃ„Âku]</t>
  </si>
  <si>
    <t>Haruki Murakami, Jay Rubin</t>
  </si>
  <si>
    <t>Ishmael: An Adventure of the Mind and Spirit</t>
  </si>
  <si>
    <t>Daniel Quinn</t>
  </si>
  <si>
    <t>It's Not Summer Without You</t>
  </si>
  <si>
    <t>Pushing the Limits</t>
  </si>
  <si>
    <t>Katie McGarry</t>
  </si>
  <si>
    <t>Quidditch Through the Ages</t>
  </si>
  <si>
    <t>Kennilworthy Whisp, J.K. Rowling</t>
  </si>
  <si>
    <t>Miss Nelson Is Missing!</t>
  </si>
  <si>
    <t>Harry Allard, James  Marshall</t>
  </si>
  <si>
    <t>The Long Walk</t>
  </si>
  <si>
    <t>The Ersatz Elevator</t>
  </si>
  <si>
    <t xml:space="preserve">Messenger </t>
  </si>
  <si>
    <t>Lover Revealed</t>
  </si>
  <si>
    <t>'Salem's Lot The Illustrated Edition</t>
  </si>
  <si>
    <t>Stephen King, Jerry N. Uelsmann</t>
  </si>
  <si>
    <t>The Mysterious Benedict Society</t>
  </si>
  <si>
    <t>Trenton Lee Stewart, Carson Ellis</t>
  </si>
  <si>
    <t>God is Not Great: How Religion Poisons Everything</t>
  </si>
  <si>
    <t>Christopher Hitchens</t>
  </si>
  <si>
    <t>Never Too Far (Too Far, #2)</t>
  </si>
  <si>
    <t>State of Fear</t>
  </si>
  <si>
    <t>The Statistical Probability of Love at First Sight</t>
  </si>
  <si>
    <t>Jennifer E. Smith</t>
  </si>
  <si>
    <t>The Golem's Eye</t>
  </si>
  <si>
    <t>Still Life with Woodpecker</t>
  </si>
  <si>
    <t>Tom Robbins</t>
  </si>
  <si>
    <t>Those Who Save Us</t>
  </si>
  <si>
    <t>Jenna Blum</t>
  </si>
  <si>
    <t>The Broker</t>
  </si>
  <si>
    <t>Across the Universe</t>
  </si>
  <si>
    <t>Beth Revis</t>
  </si>
  <si>
    <t>The Road Less Traveled:  A New Psychology of Love, Traditional Values, and Spiritual Growth</t>
  </si>
  <si>
    <t>M. Scott Peck</t>
  </si>
  <si>
    <t>Blood Rites</t>
  </si>
  <si>
    <t>The Boxcar Children</t>
  </si>
  <si>
    <t>Gertrude Chandler Warner, L. Kate Deal</t>
  </si>
  <si>
    <t>The Silent Wife</t>
  </si>
  <si>
    <t>A.S.A. Harrison</t>
  </si>
  <si>
    <t>How to Be a Woman</t>
  </si>
  <si>
    <t>Caitlin Moran</t>
  </si>
  <si>
    <t>A Court of Mist and Fury</t>
  </si>
  <si>
    <t>Life</t>
  </si>
  <si>
    <t>Keith Richards</t>
  </si>
  <si>
    <t>Unaccustomed Earth</t>
  </si>
  <si>
    <t>The Pilot's Wife</t>
  </si>
  <si>
    <t>Anita Shreve</t>
  </si>
  <si>
    <t>White Noise</t>
  </si>
  <si>
    <t>Don DeLillo</t>
  </si>
  <si>
    <t>Band of Brothers: E Company, 506th Regiment, 101st Airborne from Normandy to Hitler's Eagle's Nest</t>
  </si>
  <si>
    <t>Stephen E. Ambrose</t>
  </si>
  <si>
    <t>On the Origin of Species by Means of Natural Selection or the Preservation of Favoured Races in the Struggle for Life</t>
  </si>
  <si>
    <t>Charles Darwin</t>
  </si>
  <si>
    <t>Blankets</t>
  </si>
  <si>
    <t>Craig Thompson</t>
  </si>
  <si>
    <t>The Story of Edgar Sawtelle</t>
  </si>
  <si>
    <t>David Wroblewski</t>
  </si>
  <si>
    <t>Drowning Ruth</t>
  </si>
  <si>
    <t>Christina Schwarz</t>
  </si>
  <si>
    <t>Post Office</t>
  </si>
  <si>
    <t>Charles Bukowski</t>
  </si>
  <si>
    <t>All the Pretty Horses</t>
  </si>
  <si>
    <t>Sherlock Holmes: The Complete Novels and Stories, Vol 2</t>
  </si>
  <si>
    <t>Arthur Conan Doyle, Kyle Freeman</t>
  </si>
  <si>
    <t>One Piece, Volume 01</t>
  </si>
  <si>
    <t>EiichirÃ…Â Oda, Andy Nakatani</t>
  </si>
  <si>
    <t>The Last Unicorn</t>
  </si>
  <si>
    <t>Peter S. Beagle</t>
  </si>
  <si>
    <t>Magyk</t>
  </si>
  <si>
    <t>Angie Sage</t>
  </si>
  <si>
    <t>Fever 1793</t>
  </si>
  <si>
    <t>The Likeness</t>
  </si>
  <si>
    <t>Tana French</t>
  </si>
  <si>
    <t>Dead Wake: The Last Crossing of the Lusitania</t>
  </si>
  <si>
    <t>The Jungle Book</t>
  </si>
  <si>
    <t>Rudyard Kipling</t>
  </si>
  <si>
    <t>I Am Pilgrim</t>
  </si>
  <si>
    <t>Terry Hayes</t>
  </si>
  <si>
    <t xml:space="preserve">Howl and Other Poems </t>
  </si>
  <si>
    <t>Allen Ginsberg, William Carlos Williams</t>
  </si>
  <si>
    <t>Don't Sweat the Small Stuff</t>
  </si>
  <si>
    <t>Richard Carlson</t>
  </si>
  <si>
    <t>Go the Fuck to Sleep</t>
  </si>
  <si>
    <t>Adam Mansbach, Ricardo CortÃƒÂ©s</t>
  </si>
  <si>
    <t>Mostly Harmless</t>
  </si>
  <si>
    <t>Benjamin Franklin: An American Life</t>
  </si>
  <si>
    <t>The Tiger's Wife</t>
  </si>
  <si>
    <t>TÃƒÂ©a Obreht</t>
  </si>
  <si>
    <t>Poison Study</t>
  </si>
  <si>
    <t>Maria V. Snyder</t>
  </si>
  <si>
    <t>Lover Unbound</t>
  </si>
  <si>
    <t>Going Postal</t>
  </si>
  <si>
    <t>The Book of Mormon</t>
  </si>
  <si>
    <t>Anonymous, Joseph Smith Jr.</t>
  </si>
  <si>
    <t>The Mist</t>
  </si>
  <si>
    <t>Dead Beat</t>
  </si>
  <si>
    <t>Golden Son</t>
  </si>
  <si>
    <t>Night Watch</t>
  </si>
  <si>
    <t>The Light Fantastic</t>
  </si>
  <si>
    <t>What the Dog Saw and Other Adventures</t>
  </si>
  <si>
    <t>Pretty Girls</t>
  </si>
  <si>
    <t>Karin Slaughter</t>
  </si>
  <si>
    <t>Last Argument of Kings</t>
  </si>
  <si>
    <t>Revival</t>
  </si>
  <si>
    <t>Horton Hears a Who!</t>
  </si>
  <si>
    <t>The Blind Side: Evolution of a Game</t>
  </si>
  <si>
    <t>Lirael</t>
  </si>
  <si>
    <t>School's Out Forever</t>
  </si>
  <si>
    <t>Ã©Â»â€™Ã¥Å¸Â·Ã¤Âºâ€¹ I [Kuroshitsuji I]</t>
  </si>
  <si>
    <t>Yana Toboso, Tomo Kimura</t>
  </si>
  <si>
    <t>Winter</t>
  </si>
  <si>
    <t xml:space="preserve">The Strange Case of Dr. Jekyll and Mr. Hyde and Other Tales of Terror </t>
  </si>
  <si>
    <t>Robert Louis Stevenson, Robert Mighall</t>
  </si>
  <si>
    <t>The Painted Man</t>
  </si>
  <si>
    <t>Peter V. Brett</t>
  </si>
  <si>
    <t>One Shot</t>
  </si>
  <si>
    <t>Lee Child</t>
  </si>
  <si>
    <t>The Serpent's Shadow</t>
  </si>
  <si>
    <t>Duma Key</t>
  </si>
  <si>
    <t>The Shifting Fog</t>
  </si>
  <si>
    <t>Proven Guilty</t>
  </si>
  <si>
    <t>Ãâ€”ÃÂ°ÃÂ¿ÃÂ¸Ã‘ÂÃÂºÃÂ¸ ÃÂ¸ÃÂ· ÃÂ¿ÃÂ¾ÃÂ´ÃÂ¿ÃÂ¾ÃÂ»Ã‘Å’Ã‘Â</t>
  </si>
  <si>
    <t>Fyodor Dostoyevsky, Andrew R. MacAndrew, Ben Marcus</t>
  </si>
  <si>
    <t>The Heart is a Lonely Hunter</t>
  </si>
  <si>
    <t>Carson McCullers</t>
  </si>
  <si>
    <t>The Infinite Sea</t>
  </si>
  <si>
    <t>Rick Yancey</t>
  </si>
  <si>
    <t>The Once and Future King</t>
  </si>
  <si>
    <t>T.H. White</t>
  </si>
  <si>
    <t>Small Gods</t>
  </si>
  <si>
    <t>Bud, Not Buddy</t>
  </si>
  <si>
    <t>Christopher Paul Curtis</t>
  </si>
  <si>
    <t>Predictably Irrational: The Hidden Forces that Shape Our Decisions</t>
  </si>
  <si>
    <t>Dan Ariely</t>
  </si>
  <si>
    <t>Ã˜Â§Ã™â€žÃ™ÂÃ™Å Ã™â€ž Ã˜Â§Ã™â€žÃ˜Â£Ã˜Â²Ã˜Â±Ã™â€š</t>
  </si>
  <si>
    <t>Ã˜Â£Ã˜Â­Ã™â€¦Ã˜Â¯ Ã™â€¦Ã˜Â±Ã˜Â§Ã˜Â¯</t>
  </si>
  <si>
    <t>ara</t>
  </si>
  <si>
    <t>The Indian in the Cupboard</t>
  </si>
  <si>
    <t>Lynne Reid Banks</t>
  </si>
  <si>
    <t>A Memory of Light</t>
  </si>
  <si>
    <t>Me and Earl and the Dying Girl</t>
  </si>
  <si>
    <t>Jesse Andrews</t>
  </si>
  <si>
    <t>The Ugly Truth</t>
  </si>
  <si>
    <t>Janet Evanovich Three and Four Two-Book Set (Stephanie Plum, #3-4)</t>
  </si>
  <si>
    <t>The Surgeon of Crowthorne: a tale of murder, madness &amp; the love of words</t>
  </si>
  <si>
    <t>Simon Winchester</t>
  </si>
  <si>
    <t>2nd Chance</t>
  </si>
  <si>
    <t>James Patterson, Andrew Gross</t>
  </si>
  <si>
    <t>The Complete Maus</t>
  </si>
  <si>
    <t>The Eyre Affair</t>
  </si>
  <si>
    <t>Jasper Fforde</t>
  </si>
  <si>
    <t>Anne Rice's The Vampire Lestat: The Graphic Novel</t>
  </si>
  <si>
    <t>Faye Perozich, Anne Rice, John Bolton, Daerick GrÃƒÂ¶ss</t>
  </si>
  <si>
    <t>The Art of Happiness: A Handbook for Living</t>
  </si>
  <si>
    <t>Dalai Lama XIV, Howard C. Cutler</t>
  </si>
  <si>
    <t>The Bone Clocks</t>
  </si>
  <si>
    <t>David Mitchell</t>
  </si>
  <si>
    <t>Black and Blue</t>
  </si>
  <si>
    <t>Anna Quindlen</t>
  </si>
  <si>
    <t>The Last Juror</t>
  </si>
  <si>
    <t>Diary</t>
  </si>
  <si>
    <t>Eleven on Top</t>
  </si>
  <si>
    <t>Tintenblut</t>
  </si>
  <si>
    <t>Cornelia Funke, Anthea Bell</t>
  </si>
  <si>
    <t>Sex, Drugs, and Cocoa Puffs: A Low Culture Manifesto</t>
  </si>
  <si>
    <t>Chuck Klosterman</t>
  </si>
  <si>
    <t>Brideshead Revisited: The Sacred and Profane Memories of Captain Charles Ryder</t>
  </si>
  <si>
    <t>Evelyn Waugh</t>
  </si>
  <si>
    <t>White Night</t>
  </si>
  <si>
    <t>The Miniaturist</t>
  </si>
  <si>
    <t>Jessie Burton</t>
  </si>
  <si>
    <t>Dragons of Autumn Twilight</t>
  </si>
  <si>
    <t>Margaret Weis, Tracy Hickman</t>
  </si>
  <si>
    <t>The Lost Colony</t>
  </si>
  <si>
    <t>Extras</t>
  </si>
  <si>
    <t>The Burning Bridge</t>
  </si>
  <si>
    <t>The Book of Life</t>
  </si>
  <si>
    <t>The Artist's Way: A Spiritual Path to Higher Creativity</t>
  </si>
  <si>
    <t>Julia Cameron</t>
  </si>
  <si>
    <t>The Stinky Cheese Man and Other Fairly Stupid Tales</t>
  </si>
  <si>
    <t>Horns</t>
  </si>
  <si>
    <t>Joe Hill</t>
  </si>
  <si>
    <t>Catherine the Great: Portrait of a Woman</t>
  </si>
  <si>
    <t>Robert K. Massie</t>
  </si>
  <si>
    <t>The Year of the Flood</t>
  </si>
  <si>
    <t>Winter Garden</t>
  </si>
  <si>
    <t>The King of Torts</t>
  </si>
  <si>
    <t>Lone Survivor: The Eyewitness Account of Operation Redwing and the Lost Heroes of SEAL Team 10</t>
  </si>
  <si>
    <t>Marcus Luttrell, Patrick Robinson</t>
  </si>
  <si>
    <t>The 3 Mistakes of My Life</t>
  </si>
  <si>
    <t>The Murder of Roger Ackroyd</t>
  </si>
  <si>
    <t xml:space="preserve">Native Son </t>
  </si>
  <si>
    <t>Richard Wright</t>
  </si>
  <si>
    <t>Shadow's Edge</t>
  </si>
  <si>
    <t>Under the Never Sky</t>
  </si>
  <si>
    <t>Veronica Rossi</t>
  </si>
  <si>
    <t>True Believer</t>
  </si>
  <si>
    <t>The Lean StartupÃ¢â‚¬Å½</t>
  </si>
  <si>
    <t>Eric Ries</t>
  </si>
  <si>
    <t>The Golden Lily</t>
  </si>
  <si>
    <t>Chasing Harry Winston</t>
  </si>
  <si>
    <t>Lauren Weisberger</t>
  </si>
  <si>
    <t>Magician's Gambit</t>
  </si>
  <si>
    <t>David Eddings</t>
  </si>
  <si>
    <t>The Rise and Fall of the Third Reich: A History of Nazi Germany</t>
  </si>
  <si>
    <t>William L. Shirer</t>
  </si>
  <si>
    <t>A Long Way Down</t>
  </si>
  <si>
    <t>Out from Boneville</t>
  </si>
  <si>
    <t>Jeff Smith, Steve Hamaker</t>
  </si>
  <si>
    <t>Rose Madder</t>
  </si>
  <si>
    <t>Die Trying (Jack Reacher, #2)</t>
  </si>
  <si>
    <t>Beautiful Chaos</t>
  </si>
  <si>
    <t>Kami Garcia, Margaret Stohl, Paz Pruneda</t>
  </si>
  <si>
    <t>Keeping Faith</t>
  </si>
  <si>
    <t>Heart-Shaped Box</t>
  </si>
  <si>
    <t>Cabin Fever</t>
  </si>
  <si>
    <t>Everyone Worth Knowing</t>
  </si>
  <si>
    <t>Redwall</t>
  </si>
  <si>
    <t>Brian Jacques</t>
  </si>
  <si>
    <t>Manifest der Kommunistischen Partei</t>
  </si>
  <si>
    <t>Karl Marx, Friedrich Engels, Gareth Stedman Jones</t>
  </si>
  <si>
    <t>The Woman in Cabin 10</t>
  </si>
  <si>
    <t>Ruth Ware</t>
  </si>
  <si>
    <t>The Last of the Mohicans: A Narrative of 1757</t>
  </si>
  <si>
    <t>James Fenimore Cooper</t>
  </si>
  <si>
    <t>Sophie's Choice</t>
  </si>
  <si>
    <t>William Styron</t>
  </si>
  <si>
    <t>Shopaholic and Sister</t>
  </si>
  <si>
    <t>The Iron Daughter</t>
  </si>
  <si>
    <t>The Prayer of Jabez:  Breaking Through to the Blessed Life</t>
  </si>
  <si>
    <t>Bruce H. Wilkinson</t>
  </si>
  <si>
    <t>The Age of Miracles</t>
  </si>
  <si>
    <t>Karen Thompson Walker</t>
  </si>
  <si>
    <t>Have a Little Faith: A True Story</t>
  </si>
  <si>
    <t>My Life in France</t>
  </si>
  <si>
    <t>Julia Child, Alex Prud'Homme</t>
  </si>
  <si>
    <t>The Rosie Effect</t>
  </si>
  <si>
    <t>Graeme Simsion</t>
  </si>
  <si>
    <t>The Secret of the Nagas.</t>
  </si>
  <si>
    <t>Ham on Rye</t>
  </si>
  <si>
    <t>Flipped</t>
  </si>
  <si>
    <t>Wendelin Van Draanen</t>
  </si>
  <si>
    <t>Emotional Intelligence 2.0</t>
  </si>
  <si>
    <t>Travis Bradberry, Jean Greaves, Patrick Lencioni</t>
  </si>
  <si>
    <t>Make Way for Ducklings</t>
  </si>
  <si>
    <t>Robert McCloskey</t>
  </si>
  <si>
    <t>Relic</t>
  </si>
  <si>
    <t>Douglas Preston, Lincoln Child</t>
  </si>
  <si>
    <t>Notes from a Small Island</t>
  </si>
  <si>
    <t>Bill Bryson</t>
  </si>
  <si>
    <t>Small Favor</t>
  </si>
  <si>
    <t>The Walking Dead Compendium Volume 1</t>
  </si>
  <si>
    <t>Robert Kirkman</t>
  </si>
  <si>
    <t>Princess Academy</t>
  </si>
  <si>
    <t>Everything, Everything</t>
  </si>
  <si>
    <t>Nicola Yoon, David Yoon</t>
  </si>
  <si>
    <t>Pygmalion</t>
  </si>
  <si>
    <t>George Bernard Shaw</t>
  </si>
  <si>
    <t>Flight Behavior</t>
  </si>
  <si>
    <t>Grip of the Shadow Plague</t>
  </si>
  <si>
    <t>Bridget Jones: The Edge of Reason</t>
  </si>
  <si>
    <t>Helen Fielding</t>
  </si>
  <si>
    <t>Captain Corelli's Mandolin</t>
  </si>
  <si>
    <t>Louis de BerniÃƒÂ¨res</t>
  </si>
  <si>
    <t>At First Sight</t>
  </si>
  <si>
    <t>Down Under</t>
  </si>
  <si>
    <t>The Memoirs of Sherlock Holmes</t>
  </si>
  <si>
    <t>The Orphan Master's Son</t>
  </si>
  <si>
    <t>Adam Johnson</t>
  </si>
  <si>
    <t>Enchanters' End Game</t>
  </si>
  <si>
    <t>Marjane Satrapi, Mattias Ripa, Blake Ferris, Anjali Singh</t>
  </si>
  <si>
    <t>The Chosen</t>
  </si>
  <si>
    <t>Chaim Potok</t>
  </si>
  <si>
    <t>The Agony and the Ecstasy: A Biographical Novel of Michelangelo</t>
  </si>
  <si>
    <t>Irving Stone, Ã—Â©Ã—Å¾Ã—â€¢Ã—ÂÃ—Å“ Ã—Â©Ã—Â Ã—â„¢Ã—Â¦Ã—Â¨</t>
  </si>
  <si>
    <t>El juego del ÃƒÂ¡ngel</t>
  </si>
  <si>
    <t>Carlos Ruiz ZafÃƒÂ³n, Lucia Graves</t>
  </si>
  <si>
    <t>Where Rainbows End</t>
  </si>
  <si>
    <t>Cecelia Ahern</t>
  </si>
  <si>
    <t>Amelia Bedelia</t>
  </si>
  <si>
    <t>Peggy Parish, Fritz Siebel</t>
  </si>
  <si>
    <t>This Man</t>
  </si>
  <si>
    <t>Jodi Ellen Malpas</t>
  </si>
  <si>
    <t xml:space="preserve">A Dog's Purpose </t>
  </si>
  <si>
    <t>W. Bruce Cameron</t>
  </si>
  <si>
    <t>An Ember in the Ashes</t>
  </si>
  <si>
    <t>Sabaa Tahir</t>
  </si>
  <si>
    <t>Lover Enshrined, part one</t>
  </si>
  <si>
    <t>The Golem and the Jinni</t>
  </si>
  <si>
    <t>Helene Wecker</t>
  </si>
  <si>
    <t>Ã˜Â§Ã™â€žÃ˜Â£Ã˜Â³Ã™Ë†Ã˜Â¯ Ã™Å Ã™â€žÃ™Å Ã™â€š Ã˜Â¨Ã™Æ’</t>
  </si>
  <si>
    <t>Ã˜Â£Ã˜Â­Ã™â€žÃ˜Â§Ã™â€¦ Ã™â€¦Ã˜Â³Ã˜ÂªÃ˜ÂºÃ˜Â§Ã™â€ Ã™â€¦Ã™Å , Ahlam Mosteghanemi</t>
  </si>
  <si>
    <t>The Slippery Slope</t>
  </si>
  <si>
    <t>Bleak House</t>
  </si>
  <si>
    <t>Charles Dickens, Nicola Bradbury, Hablot Knight Browne</t>
  </si>
  <si>
    <t>Caps for sale: a tale of a peddler, some monkeys and their monkey business</t>
  </si>
  <si>
    <t>Esphyr Slobodkina</t>
  </si>
  <si>
    <t xml:space="preserve">Furies of Calderon </t>
  </si>
  <si>
    <t>Alanna: The First Adventure</t>
  </si>
  <si>
    <t>Tamora Pierce</t>
  </si>
  <si>
    <t>Her Fearful Symmetry</t>
  </si>
  <si>
    <t>Audrey Niffenegger</t>
  </si>
  <si>
    <t>The Boston Girl</t>
  </si>
  <si>
    <t>Anita Diamant</t>
  </si>
  <si>
    <t>Lover Enshrined, part two</t>
  </si>
  <si>
    <t>The Fall of Hyperion</t>
  </si>
  <si>
    <t>The Black Dahlia</t>
  </si>
  <si>
    <t>James Ellroy</t>
  </si>
  <si>
    <t>Through the Looking-Glass, and What Alice Found There</t>
  </si>
  <si>
    <t>Lewis Carroll, John Tenniel, Peter Glassman</t>
  </si>
  <si>
    <t>Wild Swans: Three Daughters of China</t>
  </si>
  <si>
    <t>Jung Chang</t>
  </si>
  <si>
    <t>Go, Dog. Go!</t>
  </si>
  <si>
    <t>Finders Keepers</t>
  </si>
  <si>
    <t>The Strain</t>
  </si>
  <si>
    <t>Guillermo del Toro, Chuck Hogan</t>
  </si>
  <si>
    <t>The Complete Poems of Emily Dickinson</t>
  </si>
  <si>
    <t>Emily Dickinson, Thomas H. Johnson</t>
  </si>
  <si>
    <t>Old Yeller</t>
  </si>
  <si>
    <t>Fred Gipson</t>
  </si>
  <si>
    <t>Born Standing Up: A Comic's Life</t>
  </si>
  <si>
    <t>Steve Martin</t>
  </si>
  <si>
    <t>PostSecret: Extraordinary Confessions from Ordinary Lives</t>
  </si>
  <si>
    <t>Frank Warren</t>
  </si>
  <si>
    <t>A Storm of Swords: Part 2 Blood and Gold</t>
  </si>
  <si>
    <t>George R.R. Martin</t>
  </si>
  <si>
    <t>The Borrowers Afield</t>
  </si>
  <si>
    <t>Mary Norton, Beth Krush, Joe Krush</t>
  </si>
  <si>
    <t>Hearts in Atlantis</t>
  </si>
  <si>
    <t>Ã§Â¾Å Ã£â€šâ€™Ã£â€šÂÃ£ÂÂÃ£â€šâ€¹Ã¥â€ â€™Ã©â„¢Âº [HitsujiwomegurubÃ…Âken]</t>
  </si>
  <si>
    <t>The Queen's Fool</t>
  </si>
  <si>
    <t>Days of Blood &amp; Starlight</t>
  </si>
  <si>
    <t>Jitterbug Perfume</t>
  </si>
  <si>
    <t>The Battle for Skandia (Ranger's Apprentice, #4)</t>
  </si>
  <si>
    <t>The Darkest Minds</t>
  </si>
  <si>
    <t>Alexandra Bracken</t>
  </si>
  <si>
    <t>O Zahir</t>
  </si>
  <si>
    <t>The Power of Positive Thinking</t>
  </si>
  <si>
    <t>Norman Vincent Peale</t>
  </si>
  <si>
    <t xml:space="preserve">In a Dark, Dark Wood </t>
  </si>
  <si>
    <t>The House of Mirth</t>
  </si>
  <si>
    <t>Edith Wharton, Nina Bawden</t>
  </si>
  <si>
    <t>Fairy Tail 1</t>
  </si>
  <si>
    <t>Hiro Mashima, William Flanagan</t>
  </si>
  <si>
    <t>The Slow Regard of Silent Things</t>
  </si>
  <si>
    <t>Patrick Rothfuss, Nate  Taylor</t>
  </si>
  <si>
    <t>Twelve Years a Slave</t>
  </si>
  <si>
    <t>Solomon Northup</t>
  </si>
  <si>
    <t>Lover Avenged, part one</t>
  </si>
  <si>
    <t>In the Heart of the Sea: The Tragedy of the Whaleship Essex</t>
  </si>
  <si>
    <t>Nathaniel Philbrick</t>
  </si>
  <si>
    <t>Infidel</t>
  </si>
  <si>
    <t>Ayaan Hirsi Ali</t>
  </si>
  <si>
    <t>The Black Swan: The Impact of the Highly Improbable</t>
  </si>
  <si>
    <t>Nassim Nicholas Taleb</t>
  </si>
  <si>
    <t>The Twelve</t>
  </si>
  <si>
    <t>ÃÅ¾ÃÂ´ÃÂ¸ÃÂ½ ÃÂ´ÃÂµÃÂ½Ã‘Å’ ÃËœÃÂ²ÃÂ°ÃÂ½ÃÂ° Ãâ€ÃÂµÃÂ½ÃÂ¸Ã‘ÂÃÂ¾ÃÂ²ÃÂ¸Ã‘â€¡ÃÂ°</t>
  </si>
  <si>
    <t>Aleksandr Solzhenitsyn, H.T. Willetts</t>
  </si>
  <si>
    <t>The Diamond Age</t>
  </si>
  <si>
    <t>A Canticle for Leibowitz</t>
  </si>
  <si>
    <t>Walter M. Miller Jr.</t>
  </si>
  <si>
    <t>Ã¡Â¼Ë†ÃŽÂ½Ãâ€žÃŽÂ¹ÃŽÂ³ÃÅ’ÃŽÂ½ÃŽÂ·</t>
  </si>
  <si>
    <t>Brooklyn</t>
  </si>
  <si>
    <t>Colm TÃƒÂ³ibÃƒÂ­n</t>
  </si>
  <si>
    <t>Wither</t>
  </si>
  <si>
    <t>Lauren DeStefano</t>
  </si>
  <si>
    <t>Hillbilly Elegy. A Memoir of a Family and Culture in Crisis</t>
  </si>
  <si>
    <t>J.D. Vance</t>
  </si>
  <si>
    <t>Crossroads of Twilight</t>
  </si>
  <si>
    <t>The Red Badge of Courage</t>
  </si>
  <si>
    <t>Stephen Crane</t>
  </si>
  <si>
    <t>What If?: Serious Scientific Answers to Absurd Hypothetical Questions</t>
  </si>
  <si>
    <t>Randall Munroe</t>
  </si>
  <si>
    <t>Gardens of the Moon</t>
  </si>
  <si>
    <t>Steven Erikson</t>
  </si>
  <si>
    <t>A Bruxa de Portobello</t>
  </si>
  <si>
    <t>Paulo Coelho</t>
  </si>
  <si>
    <t>A Swiftly Tilting Planet</t>
  </si>
  <si>
    <t>Gregor the Overlander</t>
  </si>
  <si>
    <t>Suzanne Collins</t>
  </si>
  <si>
    <t>Sing You Home</t>
  </si>
  <si>
    <t>The Tale of the Body Thief</t>
  </si>
  <si>
    <t>The Camel Club</t>
  </si>
  <si>
    <t>Saving The World and Other Extreme Sports</t>
  </si>
  <si>
    <t>Blood of the Fold</t>
  </si>
  <si>
    <t>The Boleyn Inheritance</t>
  </si>
  <si>
    <t>A Spool of Blue Thread</t>
  </si>
  <si>
    <t>Anne Tyler</t>
  </si>
  <si>
    <t>The Underground Railroad</t>
  </si>
  <si>
    <t>Colson Whitehead</t>
  </si>
  <si>
    <t>Masquerade</t>
  </si>
  <si>
    <t>The Iron Queen</t>
  </si>
  <si>
    <t>Losing It</t>
  </si>
  <si>
    <t>Cora Carmack</t>
  </si>
  <si>
    <t>The Racketeer</t>
  </si>
  <si>
    <t>Disgrace</t>
  </si>
  <si>
    <t>J.M. Coetzee</t>
  </si>
  <si>
    <t>The House at Pooh Corner</t>
  </si>
  <si>
    <t>A.A. Milne, Ernest H. Shepard</t>
  </si>
  <si>
    <t>The Black Prism</t>
  </si>
  <si>
    <t>The Mermaid Chair</t>
  </si>
  <si>
    <t>Sue Monk Kidd</t>
  </si>
  <si>
    <t>Frog and Toad Are Friends</t>
  </si>
  <si>
    <t>Arnold Lobel</t>
  </si>
  <si>
    <t>The Carnivorous Carnival</t>
  </si>
  <si>
    <t>Heist Society</t>
  </si>
  <si>
    <t>Behind Closed Doors</t>
  </si>
  <si>
    <t>B.A. Paris</t>
  </si>
  <si>
    <t>The Killer Angels</t>
  </si>
  <si>
    <t>Michael Shaara</t>
  </si>
  <si>
    <t>Circus of the Damned (Anita Blake, Vampire Hunter, #3)</t>
  </si>
  <si>
    <t>Ptolemy's Gate</t>
  </si>
  <si>
    <t>The Island of Dr. Moreau</t>
  </si>
  <si>
    <t>Opal</t>
  </si>
  <si>
    <t>Zeitoun</t>
  </si>
  <si>
    <t>Out of My Mind</t>
  </si>
  <si>
    <t>Sharon M. Draper</t>
  </si>
  <si>
    <t>Rapture</t>
  </si>
  <si>
    <t>Switched</t>
  </si>
  <si>
    <t>Amanda Hocking</t>
  </si>
  <si>
    <t>Ãâ€ÃÂ¾ÃÂºÃ‘â€šÃÂ¾Ã‘â‚¬ Ãâ€“ÃÂ¸ÃÂ²ÃÂ°ÃÂ³ÃÂ¾</t>
  </si>
  <si>
    <t>Boris Pasternak, Max Hayward, Manya Harari, John Bayley</t>
  </si>
  <si>
    <t>Pines</t>
  </si>
  <si>
    <t>Blake Crouch</t>
  </si>
  <si>
    <t>Disclosure</t>
  </si>
  <si>
    <t>Death Comes to Pemberley</t>
  </si>
  <si>
    <t>P.D. James</t>
  </si>
  <si>
    <t>Ethan Frome</t>
  </si>
  <si>
    <t>Edith Wharton</t>
  </si>
  <si>
    <t>A Map of the World</t>
  </si>
  <si>
    <t>Jane Hamilton, Frank  Muller, C.J. Critt</t>
  </si>
  <si>
    <t>It Ends with Us</t>
  </si>
  <si>
    <t>The Gift of the Magi</t>
  </si>
  <si>
    <t>O. Henry, Lisbeth Zwerger</t>
  </si>
  <si>
    <t>The Electric Kool-Aid Acid Test</t>
  </si>
  <si>
    <t>Tom Wolfe</t>
  </si>
  <si>
    <t>The Naked Lunch</t>
  </si>
  <si>
    <t>William S. Burroughs, James Grauerholz, Barry  Miles</t>
  </si>
  <si>
    <t>The Sandman: Dream Country</t>
  </si>
  <si>
    <t>Neil Gaiman, Kelley Jones, Charles Vess, Colleen Doran, Malcolm Jones III, Steve Erickson</t>
  </si>
  <si>
    <t>A Painted House</t>
  </si>
  <si>
    <t>The Left Hand of Darkness</t>
  </si>
  <si>
    <t>Ursula K. Le Guin, Lech JÃ„â„¢czmyk</t>
  </si>
  <si>
    <t>Let It Snow: Three Holiday Romances</t>
  </si>
  <si>
    <t>John Green, Maureen Johnson, Lauren Myracle</t>
  </si>
  <si>
    <t>Full Dark, No Stars</t>
  </si>
  <si>
    <t>Being Mortal: Medicine and What Matters in the End</t>
  </si>
  <si>
    <t>Atul Gawande</t>
  </si>
  <si>
    <t>Intensity</t>
  </si>
  <si>
    <t>Chelsea Chelsea Bang Bang</t>
  </si>
  <si>
    <t>Et dukkehjem</t>
  </si>
  <si>
    <t>Henrik Ibsen, Michael   Meyer</t>
  </si>
  <si>
    <t>Hawaii</t>
  </si>
  <si>
    <t>James A. Michener</t>
  </si>
  <si>
    <t>Revolutionary Road</t>
  </si>
  <si>
    <t>Richard Yates</t>
  </si>
  <si>
    <t>Nick &amp; Norah's Infinite Playlist</t>
  </si>
  <si>
    <t>Rachel Cohn, David Levithan</t>
  </si>
  <si>
    <t>Rosencrantz and Guildenstern are Dead</t>
  </si>
  <si>
    <t>Tom Stoppard, Henry Popkin</t>
  </si>
  <si>
    <t>Forever</t>
  </si>
  <si>
    <t>The Beach</t>
  </si>
  <si>
    <t>Alex Garland</t>
  </si>
  <si>
    <t>Saving CeeCee Honeycutt</t>
  </si>
  <si>
    <t>Beth Hoffman, Jenna Lamia</t>
  </si>
  <si>
    <t>Deadlocked</t>
  </si>
  <si>
    <t>Everything's Eventual: 14 Dark Tales</t>
  </si>
  <si>
    <t>Beezus and Ramona</t>
  </si>
  <si>
    <t>Beverly Cleary</t>
  </si>
  <si>
    <t>The Farthest Shore</t>
  </si>
  <si>
    <t>Airframe</t>
  </si>
  <si>
    <t>Magician</t>
  </si>
  <si>
    <t>Raymond E. Feist</t>
  </si>
  <si>
    <t>Bet Me</t>
  </si>
  <si>
    <t>Jennifer Crusie</t>
  </si>
  <si>
    <t>Long Walk to Freedom: The Autobiography of Nelson Mandela</t>
  </si>
  <si>
    <t>Nelson Mandela</t>
  </si>
  <si>
    <t>Gray Mountain</t>
  </si>
  <si>
    <t>The Power of One</t>
  </si>
  <si>
    <t>Bryce Courtenay</t>
  </si>
  <si>
    <t>The Maltese Falcon</t>
  </si>
  <si>
    <t>Dashiell Hammett</t>
  </si>
  <si>
    <t>Night Road</t>
  </si>
  <si>
    <t>Tripwire</t>
  </si>
  <si>
    <t>publishing era</t>
  </si>
  <si>
    <t>Row Labels</t>
  </si>
  <si>
    <t>Grand Total</t>
  </si>
  <si>
    <t>Average of units sold</t>
  </si>
  <si>
    <t>Average of gross sales</t>
  </si>
  <si>
    <t>Unique Author</t>
  </si>
  <si>
    <t>Dashboard Element</t>
  </si>
  <si>
    <t>Count of Book Name</t>
  </si>
  <si>
    <t>Total Book</t>
  </si>
  <si>
    <t>Avg Unit Sold</t>
  </si>
  <si>
    <t>Avg Gross Sales</t>
  </si>
  <si>
    <t>Total Books</t>
  </si>
  <si>
    <t>Total Publisher</t>
  </si>
  <si>
    <t>Unique Publisher</t>
  </si>
  <si>
    <t>Total Authors</t>
  </si>
  <si>
    <t>Total Author</t>
  </si>
  <si>
    <t>Average Gross sales</t>
  </si>
  <si>
    <t>Average Unit Sold</t>
  </si>
  <si>
    <t>Author Category and Books</t>
  </si>
  <si>
    <t>Reader Reception</t>
  </si>
  <si>
    <t>Commercial Performance</t>
  </si>
  <si>
    <t>Revenue Driver</t>
  </si>
  <si>
    <t>Average of sale price</t>
  </si>
  <si>
    <t>Avg Book Rating</t>
  </si>
  <si>
    <t>Avg of units sold</t>
  </si>
  <si>
    <t>Avg of gross sales</t>
  </si>
  <si>
    <t>Avg Review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</si>
</sst>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1000000]\ &quot;$&quot;\ #,##0.00,,&quot;M&quot;;[&gt;1000]\ &quot;$&quot;\ #.00,\ &quot;K&quot;;\ &quot;$&quot;\ ###.00"/>
    <numFmt numFmtId="165" formatCode="#,##0.0,&quot;K&quot;"/>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6" formatCode="0.0"/>
    </dxf>
    <dxf>
      <numFmt numFmtId="165" formatCode="#,##0.0,&quot;K&quot;"/>
    </dxf>
    <dxf>
      <numFmt numFmtId="164" formatCode="[&gt;=1000000]\ &quot;$&quot;\ #,##0.00,,&quot;M&quot;;[&gt;1000]\ &quot;$&quot;\ #.00,\ &quot;K&quot;;\ &quot;$&quot;\ ###.00"/>
    </dxf>
    <dxf>
      <numFmt numFmtId="167" formatCode="&quot;$&quot;#,##0.00"/>
    </dxf>
    <dxf>
      <numFmt numFmtId="164" formatCode="[&gt;=1000000]\ &quot;$&quot;\ #,##0.00,,&quot;M&quot;;[&gt;1000]\ &quot;$&quot;\ #.00,\ &quot;K&quot;;\ &quot;$&quot;\ ###.00"/>
    </dxf>
    <dxf>
      <numFmt numFmtId="166" formatCode="0.0"/>
    </dxf>
    <dxf>
      <numFmt numFmtId="165" formatCode="#,##0.0,&quot;K&quot;"/>
    </dxf>
    <dxf>
      <numFmt numFmtId="166" formatCode="0.0"/>
    </dxf>
    <dxf>
      <numFmt numFmtId="165" formatCode="#,##0.0,&quot;K&quot;"/>
    </dxf>
    <dxf>
      <numFmt numFmtId="164" formatCode="[&gt;=1000000]\ &quot;$&quot;\ #,##0.00,,&quot;M&quot;;[&gt;1000]\ &quot;$&quot;\ #.00,\ &quot;K&quot;;\ &quot;$&quot;\ ###.00"/>
    </dxf>
    <dxf>
      <numFmt numFmtId="167" formatCode="&quot;$&quot;#,##0.00"/>
    </dxf>
    <dxf>
      <numFmt numFmtId="164" formatCode="[&gt;=1000000]\ &quot;$&quot;\ #,##0.00,,&quot;M&quot;;[&gt;1000]\ &quot;$&quot;\ #.00,\ &quot;K&quot;;\ &quot;$&quot;\ ###.00"/>
    </dxf>
    <dxf>
      <numFmt numFmtId="166" formatCode="0.0"/>
    </dxf>
    <dxf>
      <numFmt numFmtId="165" formatCode="#,##0.0,&quot;K&quot;"/>
    </dxf>
    <dxf>
      <numFmt numFmtId="165" formatCode="#,##0.0,&quot;K&quot;"/>
    </dxf>
    <dxf>
      <numFmt numFmtId="166" formatCode="0.0"/>
    </dxf>
    <dxf>
      <numFmt numFmtId="164" formatCode="[&gt;=1000000]\ &quot;$&quot;\ #,##0.00,,&quot;M&quot;;[&gt;1000]\ &quot;$&quot;\ #.00,\ &quot;K&quot;;\ &quot;$&quot;\ ###.00"/>
    </dxf>
    <dxf>
      <numFmt numFmtId="165" formatCode="#,##0.0,&quot;K&quot;"/>
    </dxf>
    <dxf>
      <numFmt numFmtId="166" formatCode="0.0"/>
    </dxf>
    <dxf>
      <numFmt numFmtId="164" formatCode="[&gt;=1000000]\ &quot;$&quot;\ #,##0.00,,&quot;M&quot;;[&gt;1000]\ &quot;$&quot;\ #.00,\ &quot;K&quot;;\ &quot;$&quot;\ ###.00"/>
    </dxf>
    <dxf>
      <numFmt numFmtId="167" formatCode="&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[P2_Author_Performance_Analysis.xlsx]Supporting_pivot!PT5_reader_insights</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Reader</a:t>
            </a:r>
            <a:r>
              <a:rPr lang="en-US" sz="1800" b="1" baseline="0"/>
              <a:t> Insights by Author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5"/>
          </a:solidFill>
          <a:ln>
            <a:noFill/>
          </a:ln>
          <a:effectLst/>
        </c:spPr>
        <c:dLbl>
          <c:idx val="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solidFill>
              <a:sysClr val="window" lastClr="FFFFFF">
                <a:alpha val="79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solidFill>
              <a:sysClr val="window" lastClr="FFFFFF">
                <a:alpha val="79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solidFill>
              <a:sysClr val="window" lastClr="FFFFFF">
                <a:alpha val="79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Supporting_pivot!$F$17</c:f>
              <c:strCache>
                <c:ptCount val="1"/>
                <c:pt idx="0">
                  <c:v>Avg Book Rating</c:v>
                </c:pt>
              </c:strCache>
            </c:strRef>
          </c:tx>
          <c:spPr>
            <a:solidFill>
              <a:schemeClr val="accent5">
                <a:shade val="76000"/>
              </a:schemeClr>
            </a:solidFill>
            <a:ln>
              <a:noFill/>
            </a:ln>
            <a:effectLst/>
          </c:spPr>
          <c:invertIfNegative val="0"/>
          <c:dLbls>
            <c:spPr>
              <a:solidFill>
                <a:sysClr val="window" lastClr="FFFFFF">
                  <a:alpha val="8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Supporting_pivot!$E$18:$E$22</c:f>
              <c:strCache>
                <c:ptCount val="4"/>
                <c:pt idx="0">
                  <c:v>Famous</c:v>
                </c:pt>
                <c:pt idx="1">
                  <c:v>Excellent</c:v>
                </c:pt>
                <c:pt idx="2">
                  <c:v>Intermediate</c:v>
                </c:pt>
                <c:pt idx="3">
                  <c:v>Novice</c:v>
                </c:pt>
              </c:strCache>
            </c:strRef>
          </c:cat>
          <c:val>
            <c:numRef>
              <c:f>Supporting_pivot!$F$18:$F$22</c:f>
              <c:numCache>
                <c:formatCode>0.0</c:formatCode>
                <c:ptCount val="4"/>
                <c:pt idx="0">
                  <c:v>4.4700000000000006</c:v>
                </c:pt>
                <c:pt idx="1">
                  <c:v>4.1349999999999998</c:v>
                </c:pt>
                <c:pt idx="2">
                  <c:v>3.8695454545454537</c:v>
                </c:pt>
                <c:pt idx="3">
                  <c:v>3.41</c:v>
                </c:pt>
              </c:numCache>
            </c:numRef>
          </c:val>
          <c:extLst>
            <c:ext xmlns:c16="http://schemas.microsoft.com/office/drawing/2014/chart" uri="{C3380CC4-5D6E-409C-BE32-E72D297353CC}">
              <c16:uniqueId val="{00000000-5189-48F0-93BF-26E6782245A4}"/>
            </c:ext>
          </c:extLst>
        </c:ser>
        <c:dLbls>
          <c:dLblPos val="inBase"/>
          <c:showLegendKey val="0"/>
          <c:showVal val="1"/>
          <c:showCatName val="0"/>
          <c:showSerName val="0"/>
          <c:showPercent val="0"/>
          <c:showBubbleSize val="0"/>
        </c:dLbls>
        <c:gapWidth val="219"/>
        <c:overlap val="-27"/>
        <c:axId val="413475328"/>
        <c:axId val="133540112"/>
      </c:barChart>
      <c:lineChart>
        <c:grouping val="standard"/>
        <c:varyColors val="0"/>
        <c:ser>
          <c:idx val="1"/>
          <c:order val="1"/>
          <c:tx>
            <c:strRef>
              <c:f>Supporting_pivot!$G$17</c:f>
              <c:strCache>
                <c:ptCount val="1"/>
                <c:pt idx="0">
                  <c:v>Avg Review Count</c:v>
                </c:pt>
              </c:strCache>
            </c:strRef>
          </c:tx>
          <c:spPr>
            <a:ln w="28575" cap="rnd">
              <a:solidFill>
                <a:schemeClr val="accent5">
                  <a:tint val="77000"/>
                </a:schemeClr>
              </a:solidFill>
              <a:round/>
            </a:ln>
            <a:effectLst/>
          </c:spPr>
          <c:marker>
            <c:symbol val="none"/>
          </c:marker>
          <c:dLbls>
            <c:spPr>
              <a:solidFill>
                <a:sysClr val="window" lastClr="FFFFFF">
                  <a:alpha val="79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Supporting_pivot!$E$18:$E$22</c:f>
              <c:strCache>
                <c:ptCount val="4"/>
                <c:pt idx="0">
                  <c:v>Famous</c:v>
                </c:pt>
                <c:pt idx="1">
                  <c:v>Excellent</c:v>
                </c:pt>
                <c:pt idx="2">
                  <c:v>Intermediate</c:v>
                </c:pt>
                <c:pt idx="3">
                  <c:v>Novice</c:v>
                </c:pt>
              </c:strCache>
            </c:strRef>
          </c:cat>
          <c:val>
            <c:numRef>
              <c:f>Supporting_pivot!$G$18:$G$22</c:f>
              <c:numCache>
                <c:formatCode>#,##0.0,"K"</c:formatCode>
                <c:ptCount val="4"/>
                <c:pt idx="0">
                  <c:v>106995</c:v>
                </c:pt>
                <c:pt idx="1">
                  <c:v>82859.25</c:v>
                </c:pt>
                <c:pt idx="2">
                  <c:v>105209.06818181818</c:v>
                </c:pt>
                <c:pt idx="3">
                  <c:v>59843</c:v>
                </c:pt>
              </c:numCache>
            </c:numRef>
          </c:val>
          <c:smooth val="0"/>
          <c:extLst>
            <c:ext xmlns:c16="http://schemas.microsoft.com/office/drawing/2014/chart" uri="{C3380CC4-5D6E-409C-BE32-E72D297353CC}">
              <c16:uniqueId val="{00000001-5189-48F0-93BF-26E6782245A4}"/>
            </c:ext>
          </c:extLst>
        </c:ser>
        <c:dLbls>
          <c:showLegendKey val="0"/>
          <c:showVal val="1"/>
          <c:showCatName val="0"/>
          <c:showSerName val="0"/>
          <c:showPercent val="0"/>
          <c:showBubbleSize val="0"/>
        </c:dLbls>
        <c:marker val="1"/>
        <c:smooth val="0"/>
        <c:axId val="413461872"/>
        <c:axId val="2025013680"/>
      </c:lineChart>
      <c:catAx>
        <c:axId val="41346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Book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25013680"/>
        <c:crosses val="autoZero"/>
        <c:auto val="1"/>
        <c:lblAlgn val="ctr"/>
        <c:lblOffset val="100"/>
        <c:noMultiLvlLbl val="0"/>
      </c:catAx>
      <c:valAx>
        <c:axId val="2025013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a:t>
                </a:r>
                <a:r>
                  <a:rPr lang="en-US" baseline="0"/>
                  <a:t> Review</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13461872"/>
        <c:crosses val="autoZero"/>
        <c:crossBetween val="between"/>
      </c:valAx>
      <c:valAx>
        <c:axId val="133540112"/>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13475328"/>
        <c:crosses val="max"/>
        <c:crossBetween val="between"/>
      </c:valAx>
      <c:catAx>
        <c:axId val="413475328"/>
        <c:scaling>
          <c:orientation val="minMax"/>
        </c:scaling>
        <c:delete val="1"/>
        <c:axPos val="b"/>
        <c:numFmt formatCode="General" sourceLinked="1"/>
        <c:majorTickMark val="out"/>
        <c:minorTickMark val="none"/>
        <c:tickLblPos val="nextTo"/>
        <c:crossAx val="133540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[P2_Author_Performance_Analysis.xlsx]Supporting_pivot!PT7_commercial_perf</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Commercial</a:t>
            </a:r>
            <a:r>
              <a:rPr lang="en-US" sz="1800" b="1" baseline="0"/>
              <a:t> Performance by Author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ysClr val="window" lastClr="FFFFFF">
                <a:alpha val="4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solidFill>
              <a:sysClr val="window" lastClr="FFFFFF">
                <a:alpha val="4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7587102872632"/>
          <c:y val="0.11961500974658869"/>
          <c:w val="0.71139251873203369"/>
          <c:h val="0.80142956362910778"/>
        </c:manualLayout>
      </c:layout>
      <c:barChart>
        <c:barDir val="bar"/>
        <c:grouping val="clustered"/>
        <c:varyColors val="0"/>
        <c:ser>
          <c:idx val="0"/>
          <c:order val="0"/>
          <c:tx>
            <c:strRef>
              <c:f>Supporting_pivot!$F$26</c:f>
              <c:strCache>
                <c:ptCount val="1"/>
                <c:pt idx="0">
                  <c:v>Avg of units sold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Supporting_pivot!$E$27:$E$31</c:f>
              <c:strCache>
                <c:ptCount val="4"/>
                <c:pt idx="0">
                  <c:v>Excellent</c:v>
                </c:pt>
                <c:pt idx="1">
                  <c:v>Famous</c:v>
                </c:pt>
                <c:pt idx="2">
                  <c:v>Intermediate</c:v>
                </c:pt>
                <c:pt idx="3">
                  <c:v>Novice</c:v>
                </c:pt>
              </c:strCache>
            </c:strRef>
          </c:cat>
          <c:val>
            <c:numRef>
              <c:f>Supporting_pivot!$F$27:$F$31</c:f>
              <c:numCache>
                <c:formatCode>#,##0.0,"K"</c:formatCode>
                <c:ptCount val="4"/>
                <c:pt idx="0">
                  <c:v>11107.125</c:v>
                </c:pt>
                <c:pt idx="1">
                  <c:v>18643.5</c:v>
                </c:pt>
                <c:pt idx="2">
                  <c:v>7096.136363636364</c:v>
                </c:pt>
                <c:pt idx="3">
                  <c:v>4440</c:v>
                </c:pt>
              </c:numCache>
            </c:numRef>
          </c:val>
          <c:extLst>
            <c:ext xmlns:c16="http://schemas.microsoft.com/office/drawing/2014/chart" uri="{C3380CC4-5D6E-409C-BE32-E72D297353CC}">
              <c16:uniqueId val="{00000000-9A6A-40C1-A6AA-4ED2E14E4E2D}"/>
            </c:ext>
          </c:extLst>
        </c:ser>
        <c:ser>
          <c:idx val="1"/>
          <c:order val="1"/>
          <c:tx>
            <c:strRef>
              <c:f>Supporting_pivot!$G$26</c:f>
              <c:strCache>
                <c:ptCount val="1"/>
                <c:pt idx="0">
                  <c:v>Avg of gross sales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Supporting_pivot!$E$27:$E$31</c:f>
              <c:strCache>
                <c:ptCount val="4"/>
                <c:pt idx="0">
                  <c:v>Excellent</c:v>
                </c:pt>
                <c:pt idx="1">
                  <c:v>Famous</c:v>
                </c:pt>
                <c:pt idx="2">
                  <c:v>Intermediate</c:v>
                </c:pt>
                <c:pt idx="3">
                  <c:v>Novice</c:v>
                </c:pt>
              </c:strCache>
            </c:strRef>
          </c:cat>
          <c:val>
            <c:numRef>
              <c:f>Supporting_pivot!$G$27:$G$31</c:f>
              <c:numCache>
                <c:formatCode>[&gt;=1000000]\ "$"\ #,##0.00,,"M";[&gt;1000]\ "$"\ #.00,\ "K";\ "$"\ ###.00</c:formatCode>
                <c:ptCount val="4"/>
                <c:pt idx="0">
                  <c:v>855.06375000000014</c:v>
                </c:pt>
                <c:pt idx="1">
                  <c:v>373.59000000000003</c:v>
                </c:pt>
                <c:pt idx="2">
                  <c:v>4833.1206818181818</c:v>
                </c:pt>
                <c:pt idx="3">
                  <c:v>446.88</c:v>
                </c:pt>
              </c:numCache>
            </c:numRef>
          </c:val>
          <c:extLst>
            <c:ext xmlns:c16="http://schemas.microsoft.com/office/drawing/2014/chart" uri="{C3380CC4-5D6E-409C-BE32-E72D297353CC}">
              <c16:uniqueId val="{00000001-9A6A-40C1-A6AA-4ED2E14E4E2D}"/>
            </c:ext>
          </c:extLst>
        </c:ser>
        <c:dLbls>
          <c:dLblPos val="inEnd"/>
          <c:showLegendKey val="0"/>
          <c:showVal val="1"/>
          <c:showCatName val="0"/>
          <c:showSerName val="0"/>
          <c:showPercent val="0"/>
          <c:showBubbleSize val="0"/>
        </c:dLbls>
        <c:gapWidth val="182"/>
        <c:axId val="419121104"/>
        <c:axId val="123242928"/>
      </c:barChart>
      <c:catAx>
        <c:axId val="419121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Author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3242928"/>
        <c:crosses val="autoZero"/>
        <c:auto val="1"/>
        <c:lblAlgn val="ctr"/>
        <c:lblOffset val="100"/>
        <c:noMultiLvlLbl val="0"/>
      </c:catAx>
      <c:valAx>
        <c:axId val="12324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1912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[P2_Author_Performance_Analysis.xlsx]Supporting_pivot!PT8_avg_sale_price</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 Sale Price</a:t>
            </a:r>
            <a:r>
              <a:rPr lang="en-US" sz="1800" b="1" baseline="0"/>
              <a:t> by Author Category</a:t>
            </a:r>
            <a:endParaRPr lang="en-US" sz="1800" b="1"/>
          </a:p>
        </c:rich>
      </c:tx>
      <c:layout>
        <c:manualLayout>
          <c:xMode val="edge"/>
          <c:yMode val="edge"/>
          <c:x val="0.13867172853393325"/>
          <c:y val="3.201661838963972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ysClr val="window" lastClr="FFFFFF">
                <a:alpha val="81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solidFill>
              <a:sysClr val="window" lastClr="FFFFFF">
                <a:alpha val="81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ysClr val="window" lastClr="FFFFFF">
                <a:alpha val="81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6272809648793"/>
          <c:y val="0.14254683146630842"/>
          <c:w val="0.82233568460192474"/>
          <c:h val="0.74858704039708857"/>
        </c:manualLayout>
      </c:layout>
      <c:barChart>
        <c:barDir val="col"/>
        <c:grouping val="clustered"/>
        <c:varyColors val="0"/>
        <c:ser>
          <c:idx val="0"/>
          <c:order val="0"/>
          <c:tx>
            <c:strRef>
              <c:f>Supporting_pivot!$F$36</c:f>
              <c:strCache>
                <c:ptCount val="1"/>
                <c:pt idx="0">
                  <c:v>Total</c:v>
                </c:pt>
              </c:strCache>
            </c:strRef>
          </c:tx>
          <c:spPr>
            <a:solidFill>
              <a:schemeClr val="accent5"/>
            </a:solidFill>
            <a:ln>
              <a:noFill/>
            </a:ln>
            <a:effectLst/>
          </c:spPr>
          <c:invertIfNegative val="0"/>
          <c:dLbls>
            <c:spPr>
              <a:solidFill>
                <a:sysClr val="window" lastClr="FFFFFF">
                  <a:alpha val="81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Supporting_pivot!$E$37:$E$41</c:f>
              <c:strCache>
                <c:ptCount val="4"/>
                <c:pt idx="0">
                  <c:v>Intermediate</c:v>
                </c:pt>
                <c:pt idx="1">
                  <c:v>Excellent</c:v>
                </c:pt>
                <c:pt idx="2">
                  <c:v>Novice</c:v>
                </c:pt>
                <c:pt idx="3">
                  <c:v>Famous</c:v>
                </c:pt>
              </c:strCache>
            </c:strRef>
          </c:cat>
          <c:val>
            <c:numRef>
              <c:f>Supporting_pivot!$F$37:$F$41</c:f>
              <c:numCache>
                <c:formatCode>[&gt;=1000000]\ "$"\ #,##0.00,,"M";[&gt;1000]\ "$"\ #.00,\ "K";\ "$"\ ###.00</c:formatCode>
                <c:ptCount val="4"/>
                <c:pt idx="0">
                  <c:v>6.8550000000000013</c:v>
                </c:pt>
                <c:pt idx="1">
                  <c:v>5.7643750000000011</c:v>
                </c:pt>
                <c:pt idx="2">
                  <c:v>3.99</c:v>
                </c:pt>
                <c:pt idx="3">
                  <c:v>2.99</c:v>
                </c:pt>
              </c:numCache>
            </c:numRef>
          </c:val>
          <c:extLst>
            <c:ext xmlns:c16="http://schemas.microsoft.com/office/drawing/2014/chart" uri="{C3380CC4-5D6E-409C-BE32-E72D297353CC}">
              <c16:uniqueId val="{00000000-8291-40DE-B33E-C1CC39FB0453}"/>
            </c:ext>
          </c:extLst>
        </c:ser>
        <c:dLbls>
          <c:dLblPos val="outEnd"/>
          <c:showLegendKey val="0"/>
          <c:showVal val="1"/>
          <c:showCatName val="0"/>
          <c:showSerName val="0"/>
          <c:showPercent val="0"/>
          <c:showBubbleSize val="0"/>
        </c:dLbls>
        <c:gapWidth val="219"/>
        <c:overlap val="-27"/>
        <c:axId val="419146160"/>
        <c:axId val="2025019440"/>
      </c:barChart>
      <c:catAx>
        <c:axId val="41914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Author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25019440"/>
        <c:crosses val="autoZero"/>
        <c:auto val="1"/>
        <c:lblAlgn val="ctr"/>
        <c:lblOffset val="100"/>
        <c:noMultiLvlLbl val="0"/>
      </c:catAx>
      <c:valAx>
        <c:axId val="2025019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Sale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quot;\ #,##0.00,,&quot;M&quot;;[&gt;1000]\ &quot;$&quot;\ #.00,\ &quot;K&quot;;\ &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1914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[P2_Author_Performance_Analysis.xlsx]Supporting_pivot!PT4_count_author_cat</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 Number</a:t>
            </a:r>
            <a:r>
              <a:rPr lang="en-US" sz="2000" b="1" baseline="0"/>
              <a:t> of Author</a:t>
            </a:r>
          </a:p>
        </c:rich>
      </c:tx>
      <c:layout>
        <c:manualLayout>
          <c:xMode val="edge"/>
          <c:yMode val="edge"/>
          <c:x val="0.3855176045922723"/>
          <c:y val="4.0437235865845522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alpha val="67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alpha val="67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solidFill>
              <a:sysClr val="window" lastClr="FFFFFF"/>
            </a:solidFill>
            <a:ln>
              <a:noFill/>
            </a:ln>
            <a:effectLst>
              <a:glow rad="63500">
                <a:srgbClr val="4472C4">
                  <a:satMod val="175000"/>
                  <a:alpha val="40000"/>
                </a:srgbClr>
              </a:glow>
            </a:effectLst>
          </c:spPr>
          <c:txPr>
            <a:bodyPr rot="0" spcFirstLastPara="1" vertOverflow="clip" horzOverflow="clip" vert="horz" wrap="square" lIns="0" tIns="19050" rIns="38100" bIns="19050" anchor="ctr" anchorCtr="1">
              <a:spAutoFit/>
            </a:bodyPr>
            <a:lstStyle/>
            <a:p>
              <a:pPr>
                <a:defRPr sz="1400" b="0" i="0" u="none" strike="noStrike" kern="1200" baseline="0">
                  <a:ln>
                    <a:noFill/>
                  </a:ln>
                  <a:solidFill>
                    <a:schemeClr val="dk1">
                      <a:lumMod val="65000"/>
                      <a:lumOff val="35000"/>
                      <a:alpha val="99000"/>
                    </a:schemeClr>
                  </a:solidFill>
                  <a:latin typeface="+mn-lt"/>
                  <a:ea typeface="+mn-ea"/>
                  <a:cs typeface="+mn-cs"/>
                </a:defRPr>
              </a:pPr>
              <a:endParaRPr lang="LID4096"/>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a:softEdge rad="0"/>
          </a:effectLst>
        </c:spPr>
        <c:dLbl>
          <c:idx val="0"/>
          <c:layout>
            <c:manualLayout>
              <c:x val="0.14311029101680012"/>
              <c:y val="0.1710929077307981"/>
            </c:manualLayout>
          </c:layout>
          <c:spPr>
            <a:solidFill>
              <a:sysClr val="window" lastClr="FFFFFF"/>
            </a:solidFill>
            <a:ln>
              <a:noFill/>
            </a:ln>
            <a:effectLst>
              <a:glow rad="63500">
                <a:srgbClr val="4472C4">
                  <a:satMod val="175000"/>
                  <a:alpha val="40000"/>
                </a:srgbClr>
              </a:glow>
            </a:effectLst>
          </c:spPr>
          <c:txPr>
            <a:bodyPr rot="0" spcFirstLastPara="1" vertOverflow="clip" horzOverflow="clip" vert="horz" wrap="square" lIns="0" tIns="19050" rIns="38100" bIns="19050" anchor="ctr" anchorCtr="1">
              <a:spAutoFit/>
            </a:bodyPr>
            <a:lstStyle/>
            <a:p>
              <a:pPr>
                <a:defRPr sz="1400" b="0" i="0" u="none" strike="noStrike" kern="1200" baseline="0">
                  <a:ln>
                    <a:noFill/>
                  </a:ln>
                  <a:solidFill>
                    <a:schemeClr val="dk1">
                      <a:lumMod val="65000"/>
                      <a:lumOff val="35000"/>
                      <a:alpha val="99000"/>
                    </a:schemeClr>
                  </a:solidFill>
                  <a:latin typeface="+mn-lt"/>
                  <a:ea typeface="+mn-ea"/>
                  <a:cs typeface="+mn-cs"/>
                </a:defRPr>
              </a:pPr>
              <a:endParaRPr lang="LID4096"/>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dLbl>
          <c:idx val="0"/>
          <c:layout>
            <c:manualLayout>
              <c:x val="-0.11949779325869825"/>
              <c:y val="-1.5181136660711756E-2"/>
            </c:manualLayout>
          </c:layout>
          <c:spPr>
            <a:solidFill>
              <a:sysClr val="window" lastClr="FFFFFF"/>
            </a:solidFill>
            <a:ln>
              <a:noFill/>
            </a:ln>
            <a:effectLst>
              <a:glow rad="63500">
                <a:srgbClr val="4472C4">
                  <a:satMod val="175000"/>
                  <a:alpha val="40000"/>
                </a:srgbClr>
              </a:glow>
            </a:effectLst>
          </c:spPr>
          <c:txPr>
            <a:bodyPr rot="0" spcFirstLastPara="1" vertOverflow="clip" horzOverflow="clip" vert="horz" wrap="square" lIns="0" tIns="19050" rIns="38100" bIns="19050" anchor="ctr" anchorCtr="1">
              <a:spAutoFit/>
            </a:bodyPr>
            <a:lstStyle/>
            <a:p>
              <a:pPr>
                <a:defRPr sz="1400" b="0" i="0" u="none" strike="noStrike" kern="1200" baseline="0">
                  <a:ln>
                    <a:noFill/>
                  </a:ln>
                  <a:solidFill>
                    <a:schemeClr val="dk1">
                      <a:lumMod val="65000"/>
                      <a:lumOff val="35000"/>
                      <a:alpha val="99000"/>
                    </a:schemeClr>
                  </a:solidFill>
                  <a:latin typeface="+mn-lt"/>
                  <a:ea typeface="+mn-ea"/>
                  <a:cs typeface="+mn-cs"/>
                </a:defRPr>
              </a:pPr>
              <a:endParaRPr lang="LID4096"/>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dLbl>
          <c:idx val="0"/>
          <c:layout>
            <c:manualLayout>
              <c:x val="-0.21611106146119202"/>
              <c:y val="-5.8194357199395065E-2"/>
            </c:manualLayout>
          </c:layout>
          <c:spPr>
            <a:solidFill>
              <a:sysClr val="window" lastClr="FFFFFF"/>
            </a:solidFill>
            <a:ln>
              <a:noFill/>
            </a:ln>
            <a:effectLst>
              <a:glow rad="63500">
                <a:srgbClr val="4472C4">
                  <a:satMod val="175000"/>
                  <a:alpha val="40000"/>
                </a:srgbClr>
              </a:glow>
            </a:effectLst>
          </c:spPr>
          <c:txPr>
            <a:bodyPr rot="0" spcFirstLastPara="1" vertOverflow="clip" horzOverflow="clip" vert="horz" wrap="square" lIns="0" tIns="19050" rIns="38100" bIns="19050" anchor="ctr" anchorCtr="1">
              <a:spAutoFit/>
            </a:bodyPr>
            <a:lstStyle/>
            <a:p>
              <a:pPr>
                <a:defRPr sz="1400" b="0" i="0" u="none" strike="noStrike" kern="1200" baseline="0">
                  <a:ln>
                    <a:noFill/>
                  </a:ln>
                  <a:solidFill>
                    <a:schemeClr val="dk1">
                      <a:lumMod val="65000"/>
                      <a:lumOff val="35000"/>
                      <a:alpha val="99000"/>
                    </a:schemeClr>
                  </a:solidFill>
                  <a:latin typeface="+mn-lt"/>
                  <a:ea typeface="+mn-ea"/>
                  <a:cs typeface="+mn-cs"/>
                </a:defRPr>
              </a:pPr>
              <a:endParaRPr lang="LID4096"/>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olidFill>
          <a:ln w="19050">
            <a:solidFill>
              <a:schemeClr val="lt1"/>
            </a:solidFill>
          </a:ln>
          <a:effectLst/>
        </c:spPr>
        <c:dLbl>
          <c:idx val="0"/>
          <c:layout>
            <c:manualLayout>
              <c:x val="0.14130289716039582"/>
              <c:y val="-8.855663052081858E-2"/>
            </c:manualLayout>
          </c:layout>
          <c:spPr>
            <a:solidFill>
              <a:sysClr val="window" lastClr="FFFFFF"/>
            </a:solidFill>
            <a:ln>
              <a:noFill/>
            </a:ln>
            <a:effectLst>
              <a:glow rad="63500">
                <a:srgbClr val="4472C4">
                  <a:satMod val="175000"/>
                  <a:alpha val="40000"/>
                </a:srgbClr>
              </a:glow>
            </a:effectLst>
          </c:spPr>
          <c:txPr>
            <a:bodyPr rot="0" spcFirstLastPara="1" vertOverflow="clip" horzOverflow="clip" vert="horz" wrap="square" lIns="0" tIns="19050" rIns="38100" bIns="19050" anchor="ctr" anchorCtr="1">
              <a:spAutoFit/>
            </a:bodyPr>
            <a:lstStyle/>
            <a:p>
              <a:pPr>
                <a:defRPr sz="1400" b="0" i="0" u="none" strike="noStrike" kern="1200" baseline="0">
                  <a:ln>
                    <a:noFill/>
                  </a:ln>
                  <a:solidFill>
                    <a:schemeClr val="dk1">
                      <a:lumMod val="65000"/>
                      <a:lumOff val="35000"/>
                      <a:alpha val="99000"/>
                    </a:schemeClr>
                  </a:solidFill>
                  <a:latin typeface="+mn-lt"/>
                  <a:ea typeface="+mn-ea"/>
                  <a:cs typeface="+mn-cs"/>
                </a:defRPr>
              </a:pPr>
              <a:endParaRPr lang="LID4096"/>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802763275196576"/>
          <c:y val="0.1851112496406434"/>
          <c:w val="0.64825195447801476"/>
          <c:h val="0.76157506882812587"/>
        </c:manualLayout>
      </c:layout>
      <c:doughnutChart>
        <c:varyColors val="1"/>
        <c:ser>
          <c:idx val="0"/>
          <c:order val="0"/>
          <c:tx>
            <c:strRef>
              <c:f>Supporting_pivot!$C$17</c:f>
              <c:strCache>
                <c:ptCount val="1"/>
                <c:pt idx="0">
                  <c:v>Total</c:v>
                </c:pt>
              </c:strCache>
            </c:strRef>
          </c:tx>
          <c:dPt>
            <c:idx val="0"/>
            <c:bubble3D val="0"/>
            <c:spPr>
              <a:solidFill>
                <a:schemeClr val="accent6"/>
              </a:solidFill>
              <a:ln w="19050">
                <a:solidFill>
                  <a:schemeClr val="lt1"/>
                </a:solidFill>
              </a:ln>
              <a:effectLst>
                <a:softEdge rad="0"/>
              </a:effectLst>
            </c:spPr>
            <c:extLst>
              <c:ext xmlns:c16="http://schemas.microsoft.com/office/drawing/2014/chart" uri="{C3380CC4-5D6E-409C-BE32-E72D297353CC}">
                <c16:uniqueId val="{00000001-E5EF-4F37-852D-8F234096FF5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5EF-4F37-852D-8F234096FF5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5EF-4F37-852D-8F234096FF5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5EF-4F37-852D-8F234096FF53}"/>
              </c:ext>
            </c:extLst>
          </c:dPt>
          <c:dLbls>
            <c:dLbl>
              <c:idx val="0"/>
              <c:layout>
                <c:manualLayout>
                  <c:x val="0.14311029101680012"/>
                  <c:y val="0.171092907730798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5EF-4F37-852D-8F234096FF53}"/>
                </c:ext>
              </c:extLst>
            </c:dLbl>
            <c:dLbl>
              <c:idx val="1"/>
              <c:layout>
                <c:manualLayout>
                  <c:x val="-0.11949779325869825"/>
                  <c:y val="-1.518113666071175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5EF-4F37-852D-8F234096FF53}"/>
                </c:ext>
              </c:extLst>
            </c:dLbl>
            <c:dLbl>
              <c:idx val="2"/>
              <c:layout>
                <c:manualLayout>
                  <c:x val="-0.21611106146119202"/>
                  <c:y val="-5.819435719939506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5EF-4F37-852D-8F234096FF53}"/>
                </c:ext>
              </c:extLst>
            </c:dLbl>
            <c:dLbl>
              <c:idx val="3"/>
              <c:layout>
                <c:manualLayout>
                  <c:x val="0.14130289716039582"/>
                  <c:y val="-8.85566305208185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E5EF-4F37-852D-8F234096FF53}"/>
                </c:ext>
              </c:extLst>
            </c:dLbl>
            <c:spPr>
              <a:solidFill>
                <a:sysClr val="window" lastClr="FFFFFF"/>
              </a:solidFill>
              <a:ln>
                <a:noFill/>
              </a:ln>
              <a:effectLst>
                <a:glow rad="63500">
                  <a:srgbClr val="4472C4">
                    <a:satMod val="175000"/>
                    <a:alpha val="40000"/>
                  </a:srgbClr>
                </a:glow>
              </a:effectLst>
            </c:spPr>
            <c:txPr>
              <a:bodyPr rot="0" spcFirstLastPara="1" vertOverflow="clip" horzOverflow="clip" vert="horz" wrap="square" lIns="0" tIns="19050" rIns="38100" bIns="19050" anchor="ctr" anchorCtr="1">
                <a:spAutoFit/>
              </a:bodyPr>
              <a:lstStyle/>
              <a:p>
                <a:pPr>
                  <a:defRPr sz="1400" b="0" i="0" u="none" strike="noStrike" kern="1200" baseline="0">
                    <a:ln>
                      <a:noFill/>
                    </a:ln>
                    <a:solidFill>
                      <a:schemeClr val="dk1">
                        <a:lumMod val="65000"/>
                        <a:lumOff val="35000"/>
                        <a:alpha val="99000"/>
                      </a:schemeClr>
                    </a:solidFill>
                    <a:latin typeface="+mn-lt"/>
                    <a:ea typeface="+mn-ea"/>
                    <a:cs typeface="+mn-cs"/>
                  </a:defRPr>
                </a:pPr>
                <a:endParaRPr lang="LID4096"/>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Supporting_pivot!$B$18:$B$22</c:f>
              <c:strCache>
                <c:ptCount val="4"/>
                <c:pt idx="0">
                  <c:v>Intermediate</c:v>
                </c:pt>
                <c:pt idx="1">
                  <c:v>Excellent</c:v>
                </c:pt>
                <c:pt idx="2">
                  <c:v>Famous</c:v>
                </c:pt>
                <c:pt idx="3">
                  <c:v>Novice</c:v>
                </c:pt>
              </c:strCache>
            </c:strRef>
          </c:cat>
          <c:val>
            <c:numRef>
              <c:f>Supporting_pivot!$C$18:$C$22</c:f>
              <c:numCache>
                <c:formatCode>General</c:formatCode>
                <c:ptCount val="4"/>
                <c:pt idx="0">
                  <c:v>44</c:v>
                </c:pt>
                <c:pt idx="1">
                  <c:v>16</c:v>
                </c:pt>
                <c:pt idx="2">
                  <c:v>2</c:v>
                </c:pt>
                <c:pt idx="3">
                  <c:v>1</c:v>
                </c:pt>
              </c:numCache>
            </c:numRef>
          </c:val>
          <c:extLst>
            <c:ext xmlns:c16="http://schemas.microsoft.com/office/drawing/2014/chart" uri="{C3380CC4-5D6E-409C-BE32-E72D297353CC}">
              <c16:uniqueId val="{00000008-E5EF-4F37-852D-8F234096FF53}"/>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15</xdr:col>
      <xdr:colOff>126999</xdr:colOff>
      <xdr:row>12</xdr:row>
      <xdr:rowOff>134768</xdr:rowOff>
    </xdr:from>
    <xdr:to>
      <xdr:col>28</xdr:col>
      <xdr:colOff>15875</xdr:colOff>
      <xdr:row>37</xdr:row>
      <xdr:rowOff>158749</xdr:rowOff>
    </xdr:to>
    <xdr:grpSp>
      <xdr:nvGrpSpPr>
        <xdr:cNvPr id="70" name="Group 69">
          <a:extLst>
            <a:ext uri="{FF2B5EF4-FFF2-40B4-BE49-F238E27FC236}">
              <a16:creationId xmlns:a16="http://schemas.microsoft.com/office/drawing/2014/main" id="{A9E96B23-AA43-1B5F-58CB-37AF060C16B3}"/>
            </a:ext>
          </a:extLst>
        </xdr:cNvPr>
        <xdr:cNvGrpSpPr/>
      </xdr:nvGrpSpPr>
      <xdr:grpSpPr>
        <a:xfrm>
          <a:off x="9246680" y="2404555"/>
          <a:ext cx="7792599" cy="4752705"/>
          <a:chOff x="-2948788" y="3419790"/>
          <a:chExt cx="7778751" cy="5048249"/>
        </a:xfrm>
        <a:effectLst>
          <a:outerShdw blurRad="50800" dist="38100" dir="2700000" algn="tl" rotWithShape="0">
            <a:prstClr val="black">
              <a:alpha val="40000"/>
            </a:prstClr>
          </a:outerShdw>
        </a:effectLst>
      </xdr:grpSpPr>
      <xdr:sp macro="" textlink="">
        <xdr:nvSpPr>
          <xdr:cNvPr id="66" name="Rectangle: Rounded Corners 65">
            <a:extLst>
              <a:ext uri="{FF2B5EF4-FFF2-40B4-BE49-F238E27FC236}">
                <a16:creationId xmlns:a16="http://schemas.microsoft.com/office/drawing/2014/main" id="{28AA1F52-AA75-454B-A0E3-90230899BA86}"/>
              </a:ext>
            </a:extLst>
          </xdr:cNvPr>
          <xdr:cNvSpPr/>
        </xdr:nvSpPr>
        <xdr:spPr>
          <a:xfrm>
            <a:off x="-2948788" y="3419790"/>
            <a:ext cx="7778751" cy="5048249"/>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5" name="PC2_reader_insight">
            <a:extLst>
              <a:ext uri="{FF2B5EF4-FFF2-40B4-BE49-F238E27FC236}">
                <a16:creationId xmlns:a16="http://schemas.microsoft.com/office/drawing/2014/main" id="{FF2C3263-2EDA-45A1-B6DE-38363ED5195D}"/>
              </a:ext>
            </a:extLst>
          </xdr:cNvPr>
          <xdr:cNvGraphicFramePr>
            <a:graphicFrameLocks/>
          </xdr:cNvGraphicFramePr>
        </xdr:nvGraphicFramePr>
        <xdr:xfrm>
          <a:off x="-2723633" y="3821451"/>
          <a:ext cx="7387202" cy="430345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4</xdr:col>
      <xdr:colOff>457932</xdr:colOff>
      <xdr:row>38</xdr:row>
      <xdr:rowOff>112958</xdr:rowOff>
    </xdr:from>
    <xdr:to>
      <xdr:col>17</xdr:col>
      <xdr:colOff>537307</xdr:colOff>
      <xdr:row>63</xdr:row>
      <xdr:rowOff>160583</xdr:rowOff>
    </xdr:to>
    <xdr:grpSp>
      <xdr:nvGrpSpPr>
        <xdr:cNvPr id="69" name="Group 68">
          <a:extLst>
            <a:ext uri="{FF2B5EF4-FFF2-40B4-BE49-F238E27FC236}">
              <a16:creationId xmlns:a16="http://schemas.microsoft.com/office/drawing/2014/main" id="{20622903-4F37-7DB0-621A-3B8148949419}"/>
            </a:ext>
          </a:extLst>
        </xdr:cNvPr>
        <xdr:cNvGrpSpPr/>
      </xdr:nvGrpSpPr>
      <xdr:grpSpPr>
        <a:xfrm>
          <a:off x="2889847" y="7300618"/>
          <a:ext cx="7983098" cy="4776348"/>
          <a:chOff x="8778875" y="2413000"/>
          <a:chExt cx="7715250" cy="4810125"/>
        </a:xfrm>
        <a:effectLst>
          <a:outerShdw blurRad="50800" dist="38100" dir="2700000" algn="tl" rotWithShape="0">
            <a:prstClr val="black">
              <a:alpha val="40000"/>
            </a:prstClr>
          </a:outerShdw>
        </a:effectLst>
      </xdr:grpSpPr>
      <xdr:sp macro="" textlink="">
        <xdr:nvSpPr>
          <xdr:cNvPr id="61" name="Rectangle: Rounded Corners 60">
            <a:extLst>
              <a:ext uri="{FF2B5EF4-FFF2-40B4-BE49-F238E27FC236}">
                <a16:creationId xmlns:a16="http://schemas.microsoft.com/office/drawing/2014/main" id="{4C786FCB-01CF-41DE-8D9F-C7518D5EC94C}"/>
              </a:ext>
            </a:extLst>
          </xdr:cNvPr>
          <xdr:cNvSpPr/>
        </xdr:nvSpPr>
        <xdr:spPr>
          <a:xfrm>
            <a:off x="8778875" y="2413000"/>
            <a:ext cx="7715250" cy="48101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6" name="PC3_commercial_perf">
            <a:extLst>
              <a:ext uri="{FF2B5EF4-FFF2-40B4-BE49-F238E27FC236}">
                <a16:creationId xmlns:a16="http://schemas.microsoft.com/office/drawing/2014/main" id="{01BF89E0-27BC-4127-923F-A716AB211B3E}"/>
              </a:ext>
            </a:extLst>
          </xdr:cNvPr>
          <xdr:cNvGraphicFramePr>
            <a:graphicFrameLocks/>
          </xdr:cNvGraphicFramePr>
        </xdr:nvGraphicFramePr>
        <xdr:xfrm>
          <a:off x="9096375" y="2690812"/>
          <a:ext cx="7000876" cy="426658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18</xdr:col>
      <xdr:colOff>111125</xdr:colOff>
      <xdr:row>38</xdr:row>
      <xdr:rowOff>174625</xdr:rowOff>
    </xdr:from>
    <xdr:to>
      <xdr:col>28</xdr:col>
      <xdr:colOff>15875</xdr:colOff>
      <xdr:row>64</xdr:row>
      <xdr:rowOff>12211</xdr:rowOff>
    </xdr:to>
    <xdr:grpSp>
      <xdr:nvGrpSpPr>
        <xdr:cNvPr id="71" name="Group 70">
          <a:extLst>
            <a:ext uri="{FF2B5EF4-FFF2-40B4-BE49-F238E27FC236}">
              <a16:creationId xmlns:a16="http://schemas.microsoft.com/office/drawing/2014/main" id="{273D4E90-C25A-204C-D281-5F89BDCE61DA}"/>
            </a:ext>
          </a:extLst>
        </xdr:cNvPr>
        <xdr:cNvGrpSpPr/>
      </xdr:nvGrpSpPr>
      <xdr:grpSpPr>
        <a:xfrm>
          <a:off x="11054742" y="7362285"/>
          <a:ext cx="5984537" cy="4755458"/>
          <a:chOff x="10890250" y="7254875"/>
          <a:chExt cx="5746750" cy="4841875"/>
        </a:xfrm>
        <a:effectLst>
          <a:outerShdw blurRad="50800" dist="38100" dir="2700000" algn="tl" rotWithShape="0">
            <a:prstClr val="black">
              <a:alpha val="40000"/>
            </a:prstClr>
          </a:outerShdw>
        </a:effectLst>
      </xdr:grpSpPr>
      <xdr:sp macro="" textlink="">
        <xdr:nvSpPr>
          <xdr:cNvPr id="67" name="Rectangle: Rounded Corners 66">
            <a:extLst>
              <a:ext uri="{FF2B5EF4-FFF2-40B4-BE49-F238E27FC236}">
                <a16:creationId xmlns:a16="http://schemas.microsoft.com/office/drawing/2014/main" id="{A06F4CA7-CEBF-408E-B86C-26CCC7CAB4E8}"/>
              </a:ext>
            </a:extLst>
          </xdr:cNvPr>
          <xdr:cNvSpPr/>
        </xdr:nvSpPr>
        <xdr:spPr>
          <a:xfrm>
            <a:off x="10890250" y="7254875"/>
            <a:ext cx="5746750" cy="484187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7" name="PC4_avg_sale_price">
            <a:extLst>
              <a:ext uri="{FF2B5EF4-FFF2-40B4-BE49-F238E27FC236}">
                <a16:creationId xmlns:a16="http://schemas.microsoft.com/office/drawing/2014/main" id="{A96FC75A-8804-425E-9DBE-1B2F1EDA875F}"/>
              </a:ext>
            </a:extLst>
          </xdr:cNvPr>
          <xdr:cNvGraphicFramePr>
            <a:graphicFrameLocks/>
          </xdr:cNvGraphicFramePr>
        </xdr:nvGraphicFramePr>
        <xdr:xfrm>
          <a:off x="11230609" y="7479390"/>
          <a:ext cx="5120640" cy="436335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0</xdr:colOff>
      <xdr:row>51</xdr:row>
      <xdr:rowOff>164139</xdr:rowOff>
    </xdr:from>
    <xdr:to>
      <xdr:col>4</xdr:col>
      <xdr:colOff>318770</xdr:colOff>
      <xdr:row>63</xdr:row>
      <xdr:rowOff>92809</xdr:rowOff>
    </xdr:to>
    <mc:AlternateContent xmlns:mc="http://schemas.openxmlformats.org/markup-compatibility/2006" xmlns:a14="http://schemas.microsoft.com/office/drawing/2010/main">
      <mc:Choice Requires="a14">
        <xdr:graphicFrame macro="">
          <xdr:nvGraphicFramePr>
            <xdr:cNvPr id="8" name="publishing era">
              <a:extLst>
                <a:ext uri="{FF2B5EF4-FFF2-40B4-BE49-F238E27FC236}">
                  <a16:creationId xmlns:a16="http://schemas.microsoft.com/office/drawing/2014/main" id="{E343D4FC-56C6-4DFF-A023-5625CAEDF890}"/>
                </a:ext>
              </a:extLst>
            </xdr:cNvPr>
            <xdr:cNvGraphicFramePr/>
          </xdr:nvGraphicFramePr>
          <xdr:xfrm>
            <a:off x="0" y="0"/>
            <a:ext cx="0" cy="0"/>
          </xdr:xfrm>
          <a:graphic>
            <a:graphicData uri="http://schemas.microsoft.com/office/drawing/2010/slicer">
              <sle:slicer xmlns:sle="http://schemas.microsoft.com/office/drawing/2010/slicer" name="publishing era"/>
            </a:graphicData>
          </a:graphic>
        </xdr:graphicFrame>
      </mc:Choice>
      <mc:Fallback xmlns="">
        <xdr:sp macro="" textlink="">
          <xdr:nvSpPr>
            <xdr:cNvPr id="0" name=""/>
            <xdr:cNvSpPr>
              <a:spLocks noTextEdit="1"/>
            </xdr:cNvSpPr>
          </xdr:nvSpPr>
          <xdr:spPr>
            <a:xfrm>
              <a:off x="0" y="9732434"/>
              <a:ext cx="2743315" cy="218003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96321</xdr:rowOff>
    </xdr:from>
    <xdr:to>
      <xdr:col>4</xdr:col>
      <xdr:colOff>318770</xdr:colOff>
      <xdr:row>49</xdr:row>
      <xdr:rowOff>102008</xdr:rowOff>
    </xdr:to>
    <mc:AlternateContent xmlns:mc="http://schemas.openxmlformats.org/markup-compatibility/2006" xmlns:a14="http://schemas.microsoft.com/office/drawing/2010/main">
      <mc:Choice Requires="a14">
        <xdr:graphicFrame macro="">
          <xdr:nvGraphicFramePr>
            <xdr:cNvPr id="9" name="Genre">
              <a:extLst>
                <a:ext uri="{FF2B5EF4-FFF2-40B4-BE49-F238E27FC236}">
                  <a16:creationId xmlns:a16="http://schemas.microsoft.com/office/drawing/2014/main" id="{DFFAF988-3843-42D6-91DC-2C7FAEB6248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0" y="6662798"/>
              <a:ext cx="2743315" cy="263227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5</xdr:row>
      <xdr:rowOff>47623</xdr:rowOff>
    </xdr:from>
    <xdr:to>
      <xdr:col>4</xdr:col>
      <xdr:colOff>350520</xdr:colOff>
      <xdr:row>32</xdr:row>
      <xdr:rowOff>15874</xdr:rowOff>
    </xdr:to>
    <mc:AlternateContent xmlns:mc="http://schemas.openxmlformats.org/markup-compatibility/2006" xmlns:a14="http://schemas.microsoft.com/office/drawing/2010/main">
      <mc:Choice Requires="a14">
        <xdr:graphicFrame macro="">
          <xdr:nvGraphicFramePr>
            <xdr:cNvPr id="10" name="Publisher ">
              <a:extLst>
                <a:ext uri="{FF2B5EF4-FFF2-40B4-BE49-F238E27FC236}">
                  <a16:creationId xmlns:a16="http://schemas.microsoft.com/office/drawing/2014/main" id="{7E9A4858-9B9D-46B5-838F-A3CF7EDAB0E0}"/>
                </a:ext>
              </a:extLst>
            </xdr:cNvPr>
            <xdr:cNvGraphicFramePr/>
          </xdr:nvGraphicFramePr>
          <xdr:xfrm>
            <a:off x="0" y="0"/>
            <a:ext cx="0" cy="0"/>
          </xdr:xfrm>
          <a:graphic>
            <a:graphicData uri="http://schemas.microsoft.com/office/drawing/2010/slicer">
              <sle:slicer xmlns:sle="http://schemas.microsoft.com/office/drawing/2010/slicer" name="Publisher "/>
            </a:graphicData>
          </a:graphic>
        </xdr:graphicFrame>
      </mc:Choice>
      <mc:Fallback xmlns="">
        <xdr:sp macro="" textlink="">
          <xdr:nvSpPr>
            <xdr:cNvPr id="0" name=""/>
            <xdr:cNvSpPr>
              <a:spLocks noTextEdit="1"/>
            </xdr:cNvSpPr>
          </xdr:nvSpPr>
          <xdr:spPr>
            <a:xfrm>
              <a:off x="31750" y="985691"/>
              <a:ext cx="2743315" cy="503381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539749</xdr:colOff>
      <xdr:row>12</xdr:row>
      <xdr:rowOff>146482</xdr:rowOff>
    </xdr:from>
    <xdr:to>
      <xdr:col>14</xdr:col>
      <xdr:colOff>537308</xdr:colOff>
      <xdr:row>37</xdr:row>
      <xdr:rowOff>57727</xdr:rowOff>
    </xdr:to>
    <xdr:grpSp>
      <xdr:nvGrpSpPr>
        <xdr:cNvPr id="68" name="Group 67">
          <a:extLst>
            <a:ext uri="{FF2B5EF4-FFF2-40B4-BE49-F238E27FC236}">
              <a16:creationId xmlns:a16="http://schemas.microsoft.com/office/drawing/2014/main" id="{35872D22-F54E-6E97-59DF-732433EFD746}"/>
            </a:ext>
          </a:extLst>
        </xdr:cNvPr>
        <xdr:cNvGrpSpPr/>
      </xdr:nvGrpSpPr>
      <xdr:grpSpPr>
        <a:xfrm>
          <a:off x="2971664" y="2416269"/>
          <a:ext cx="6077346" cy="4639969"/>
          <a:chOff x="2857501" y="2238375"/>
          <a:chExt cx="5699124" cy="4683126"/>
        </a:xfrm>
        <a:effectLst>
          <a:outerShdw blurRad="50800" dist="38100" dir="2700000" algn="tl" rotWithShape="0">
            <a:prstClr val="black">
              <a:alpha val="40000"/>
            </a:prstClr>
          </a:outerShdw>
        </a:effectLst>
      </xdr:grpSpPr>
      <xdr:sp macro="" textlink="">
        <xdr:nvSpPr>
          <xdr:cNvPr id="55" name="Rectangle: Rounded Corners 54">
            <a:extLst>
              <a:ext uri="{FF2B5EF4-FFF2-40B4-BE49-F238E27FC236}">
                <a16:creationId xmlns:a16="http://schemas.microsoft.com/office/drawing/2014/main" id="{AF280C16-3BC5-B8CB-0A3F-8F2F177B90D3}"/>
              </a:ext>
            </a:extLst>
          </xdr:cNvPr>
          <xdr:cNvSpPr/>
        </xdr:nvSpPr>
        <xdr:spPr>
          <a:xfrm>
            <a:off x="2857501" y="2238375"/>
            <a:ext cx="5699124" cy="468312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aphicFrame macro="">
        <xdr:nvGraphicFramePr>
          <xdr:cNvPr id="11" name="PC1_count_author_cat">
            <a:extLst>
              <a:ext uri="{FF2B5EF4-FFF2-40B4-BE49-F238E27FC236}">
                <a16:creationId xmlns:a16="http://schemas.microsoft.com/office/drawing/2014/main" id="{FF1687F2-BA11-4124-8294-B1D0608AD54B}"/>
              </a:ext>
            </a:extLst>
          </xdr:cNvPr>
          <xdr:cNvGraphicFramePr>
            <a:graphicFrameLocks/>
          </xdr:cNvGraphicFramePr>
        </xdr:nvGraphicFramePr>
        <xdr:xfrm>
          <a:off x="3103862" y="2555102"/>
          <a:ext cx="5230513" cy="412827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4</xdr:col>
      <xdr:colOff>539749</xdr:colOff>
      <xdr:row>4</xdr:row>
      <xdr:rowOff>122574</xdr:rowOff>
    </xdr:from>
    <xdr:to>
      <xdr:col>9</xdr:col>
      <xdr:colOff>340589</xdr:colOff>
      <xdr:row>10</xdr:row>
      <xdr:rowOff>180302</xdr:rowOff>
    </xdr:to>
    <xdr:grpSp>
      <xdr:nvGrpSpPr>
        <xdr:cNvPr id="37" name="Group 36">
          <a:extLst>
            <a:ext uri="{FF2B5EF4-FFF2-40B4-BE49-F238E27FC236}">
              <a16:creationId xmlns:a16="http://schemas.microsoft.com/office/drawing/2014/main" id="{DE063206-6FEB-BAB3-FA63-F28F4A9AEE0A}"/>
            </a:ext>
          </a:extLst>
        </xdr:cNvPr>
        <xdr:cNvGrpSpPr/>
      </xdr:nvGrpSpPr>
      <xdr:grpSpPr>
        <a:xfrm>
          <a:off x="2971664" y="879170"/>
          <a:ext cx="2840734" cy="1192621"/>
          <a:chOff x="3105727" y="842818"/>
          <a:chExt cx="2851727" cy="1166091"/>
        </a:xfrm>
      </xdr:grpSpPr>
      <xdr:sp macro="" textlink="">
        <xdr:nvSpPr>
          <xdr:cNvPr id="18" name="Rectangle: Rounded Corners 17">
            <a:extLst>
              <a:ext uri="{FF2B5EF4-FFF2-40B4-BE49-F238E27FC236}">
                <a16:creationId xmlns:a16="http://schemas.microsoft.com/office/drawing/2014/main" id="{68BC6649-9842-8905-46CA-ADAF41854FDD}"/>
              </a:ext>
            </a:extLst>
          </xdr:cNvPr>
          <xdr:cNvSpPr/>
        </xdr:nvSpPr>
        <xdr:spPr>
          <a:xfrm>
            <a:off x="3105727" y="842818"/>
            <a:ext cx="2851727" cy="1166091"/>
          </a:xfrm>
          <a:prstGeom prst="roundRect">
            <a:avLst/>
          </a:prstGeom>
          <a:solidFill>
            <a:schemeClr val="accent5">
              <a:alpha val="67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LID4096" sz="1100"/>
          </a:p>
        </xdr:txBody>
      </xdr:sp>
      <xdr:grpSp>
        <xdr:nvGrpSpPr>
          <xdr:cNvPr id="36" name="Group 35">
            <a:extLst>
              <a:ext uri="{FF2B5EF4-FFF2-40B4-BE49-F238E27FC236}">
                <a16:creationId xmlns:a16="http://schemas.microsoft.com/office/drawing/2014/main" id="{5A6B52D3-F43F-D7F7-8F4E-B03BBB7F0CC4}"/>
              </a:ext>
            </a:extLst>
          </xdr:cNvPr>
          <xdr:cNvGrpSpPr/>
        </xdr:nvGrpSpPr>
        <xdr:grpSpPr>
          <a:xfrm>
            <a:off x="3471058" y="932708"/>
            <a:ext cx="2370941" cy="930893"/>
            <a:chOff x="3471058" y="932708"/>
            <a:chExt cx="2370941" cy="930893"/>
          </a:xfrm>
        </xdr:grpSpPr>
        <xdr:sp macro="" textlink="Supporting_pivot!B12">
          <xdr:nvSpPr>
            <xdr:cNvPr id="32" name="TextBox 31">
              <a:extLst>
                <a:ext uri="{FF2B5EF4-FFF2-40B4-BE49-F238E27FC236}">
                  <a16:creationId xmlns:a16="http://schemas.microsoft.com/office/drawing/2014/main" id="{5FBCB15D-BB30-CEB9-2CF8-0B74AAE580D4}"/>
                </a:ext>
              </a:extLst>
            </xdr:cNvPr>
            <xdr:cNvSpPr txBox="1"/>
          </xdr:nvSpPr>
          <xdr:spPr>
            <a:xfrm>
              <a:off x="4411189" y="1457202"/>
              <a:ext cx="1287318" cy="378525"/>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683198-8CC5-47C7-83DF-6A8C10129E81}" type="TxLink">
                <a:rPr lang="en-US" sz="2400" b="0" i="0" u="none" strike="noStrike">
                  <a:solidFill>
                    <a:srgbClr val="000000"/>
                  </a:solidFill>
                  <a:latin typeface="Calibri"/>
                  <a:ea typeface="Calibri"/>
                  <a:cs typeface="Calibri"/>
                </a:rPr>
                <a:pPr algn="ctr"/>
                <a:t>63</a:t>
              </a:fld>
              <a:endParaRPr lang="LID4096" sz="2400"/>
            </a:p>
          </xdr:txBody>
        </xdr:sp>
        <xdr:sp macro="" textlink="">
          <xdr:nvSpPr>
            <xdr:cNvPr id="33" name="TextBox 32">
              <a:extLst>
                <a:ext uri="{FF2B5EF4-FFF2-40B4-BE49-F238E27FC236}">
                  <a16:creationId xmlns:a16="http://schemas.microsoft.com/office/drawing/2014/main" id="{24F5ACFB-84A8-425F-A69F-1EFE605C7D86}"/>
                </a:ext>
              </a:extLst>
            </xdr:cNvPr>
            <xdr:cNvSpPr txBox="1"/>
          </xdr:nvSpPr>
          <xdr:spPr>
            <a:xfrm>
              <a:off x="4427516" y="995219"/>
              <a:ext cx="1414483" cy="355599"/>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Calibri"/>
                  <a:ea typeface="Calibri"/>
                  <a:cs typeface="Calibri"/>
                </a:rPr>
                <a:t>Total Books</a:t>
              </a:r>
            </a:p>
          </xdr:txBody>
        </xdr:sp>
        <xdr:pic>
          <xdr:nvPicPr>
            <xdr:cNvPr id="35" name="Graphic 34" descr="Books on shelf">
              <a:extLst>
                <a:ext uri="{FF2B5EF4-FFF2-40B4-BE49-F238E27FC236}">
                  <a16:creationId xmlns:a16="http://schemas.microsoft.com/office/drawing/2014/main" id="{7BBC79C8-3E13-FE1B-FB45-9FD609D692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71058" y="932708"/>
              <a:ext cx="922648" cy="930893"/>
            </a:xfrm>
            <a:prstGeom prst="rect">
              <a:avLst/>
            </a:prstGeom>
          </xdr:spPr>
        </xdr:pic>
      </xdr:grpSp>
    </xdr:grpSp>
    <xdr:clientData/>
  </xdr:twoCellAnchor>
  <xdr:twoCellAnchor>
    <xdr:from>
      <xdr:col>11</xdr:col>
      <xdr:colOff>93231</xdr:colOff>
      <xdr:row>4</xdr:row>
      <xdr:rowOff>121613</xdr:rowOff>
    </xdr:from>
    <xdr:to>
      <xdr:col>15</xdr:col>
      <xdr:colOff>488663</xdr:colOff>
      <xdr:row>11</xdr:row>
      <xdr:rowOff>963</xdr:rowOff>
    </xdr:to>
    <xdr:grpSp>
      <xdr:nvGrpSpPr>
        <xdr:cNvPr id="42" name="Group 41">
          <a:extLst>
            <a:ext uri="{FF2B5EF4-FFF2-40B4-BE49-F238E27FC236}">
              <a16:creationId xmlns:a16="http://schemas.microsoft.com/office/drawing/2014/main" id="{4C4E5C19-4AE3-1365-4A56-79128065440B}"/>
            </a:ext>
          </a:extLst>
        </xdr:cNvPr>
        <xdr:cNvGrpSpPr/>
      </xdr:nvGrpSpPr>
      <xdr:grpSpPr>
        <a:xfrm>
          <a:off x="6780997" y="878209"/>
          <a:ext cx="2827347" cy="1203392"/>
          <a:chOff x="6525491" y="868218"/>
          <a:chExt cx="2851727" cy="1166091"/>
        </a:xfrm>
      </xdr:grpSpPr>
      <xdr:sp macro="" textlink="">
        <xdr:nvSpPr>
          <xdr:cNvPr id="19" name="Rectangle: Rounded Corners 18">
            <a:extLst>
              <a:ext uri="{FF2B5EF4-FFF2-40B4-BE49-F238E27FC236}">
                <a16:creationId xmlns:a16="http://schemas.microsoft.com/office/drawing/2014/main" id="{4837E0FE-B2A4-7795-80AA-4573C257E0B2}"/>
              </a:ext>
            </a:extLst>
          </xdr:cNvPr>
          <xdr:cNvSpPr/>
        </xdr:nvSpPr>
        <xdr:spPr>
          <a:xfrm>
            <a:off x="6525491" y="868218"/>
            <a:ext cx="2851727" cy="1166091"/>
          </a:xfrm>
          <a:prstGeom prst="roundRect">
            <a:avLst/>
          </a:prstGeom>
          <a:solidFill>
            <a:schemeClr val="accent6">
              <a:lumMod val="60000"/>
              <a:lumOff val="40000"/>
              <a:alpha val="67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LID4096" sz="1100"/>
          </a:p>
        </xdr:txBody>
      </xdr:sp>
      <xdr:sp macro="" textlink="Supporting_pivot!D11">
        <xdr:nvSpPr>
          <xdr:cNvPr id="38" name="TextBox 37">
            <a:extLst>
              <a:ext uri="{FF2B5EF4-FFF2-40B4-BE49-F238E27FC236}">
                <a16:creationId xmlns:a16="http://schemas.microsoft.com/office/drawing/2014/main" id="{5073F4D4-5002-4A00-8E43-0C28A8B96F89}"/>
              </a:ext>
            </a:extLst>
          </xdr:cNvPr>
          <xdr:cNvSpPr txBox="1"/>
        </xdr:nvSpPr>
        <xdr:spPr>
          <a:xfrm>
            <a:off x="7934037" y="1572655"/>
            <a:ext cx="1287318" cy="378525"/>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2F7809-54AF-498E-80B8-1A745BFC424C}" type="TxLink">
              <a:rPr lang="en-US" sz="2400" b="0" i="0" u="none" strike="noStrike">
                <a:solidFill>
                  <a:srgbClr val="000000"/>
                </a:solidFill>
                <a:latin typeface="Calibri"/>
                <a:ea typeface="Calibri"/>
                <a:cs typeface="Calibri"/>
              </a:rPr>
              <a:pPr algn="ctr"/>
              <a:t>61</a:t>
            </a:fld>
            <a:endParaRPr lang="LID4096" sz="4800"/>
          </a:p>
        </xdr:txBody>
      </xdr:sp>
      <xdr:sp macro="" textlink="">
        <xdr:nvSpPr>
          <xdr:cNvPr id="39" name="TextBox 38">
            <a:extLst>
              <a:ext uri="{FF2B5EF4-FFF2-40B4-BE49-F238E27FC236}">
                <a16:creationId xmlns:a16="http://schemas.microsoft.com/office/drawing/2014/main" id="{A86240C6-84C0-46BA-85A2-6677BFBDD245}"/>
              </a:ext>
            </a:extLst>
          </xdr:cNvPr>
          <xdr:cNvSpPr txBox="1"/>
        </xdr:nvSpPr>
        <xdr:spPr>
          <a:xfrm>
            <a:off x="7435273" y="1096818"/>
            <a:ext cx="1894774" cy="357909"/>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latin typeface="Calibri"/>
                <a:ea typeface="Calibri"/>
                <a:cs typeface="Calibri"/>
              </a:rPr>
              <a:t>Number</a:t>
            </a:r>
            <a:r>
              <a:rPr lang="en-US" sz="1600" b="1" i="0" u="none" strike="noStrike" baseline="0">
                <a:solidFill>
                  <a:srgbClr val="000000"/>
                </a:solidFill>
                <a:latin typeface="Calibri"/>
                <a:ea typeface="Calibri"/>
                <a:cs typeface="Calibri"/>
              </a:rPr>
              <a:t> </a:t>
            </a:r>
            <a:r>
              <a:rPr lang="en-US" sz="1800" b="1" i="0" u="none" strike="noStrike" baseline="0">
                <a:solidFill>
                  <a:srgbClr val="000000"/>
                </a:solidFill>
                <a:latin typeface="Calibri"/>
                <a:ea typeface="Calibri"/>
                <a:cs typeface="Calibri"/>
              </a:rPr>
              <a:t>of</a:t>
            </a:r>
            <a:r>
              <a:rPr lang="en-US" sz="1600" b="1" i="0" u="none" strike="noStrike" baseline="0">
                <a:solidFill>
                  <a:srgbClr val="000000"/>
                </a:solidFill>
                <a:latin typeface="Calibri"/>
                <a:ea typeface="Calibri"/>
                <a:cs typeface="Calibri"/>
              </a:rPr>
              <a:t> Authors</a:t>
            </a:r>
            <a:endParaRPr lang="en-US" sz="1600" b="1" i="0" u="none" strike="noStrike">
              <a:solidFill>
                <a:srgbClr val="000000"/>
              </a:solidFill>
              <a:latin typeface="Calibri"/>
              <a:ea typeface="Calibri"/>
              <a:cs typeface="Calibri"/>
            </a:endParaRPr>
          </a:p>
        </xdr:txBody>
      </xdr:sp>
      <xdr:pic>
        <xdr:nvPicPr>
          <xdr:cNvPr id="41" name="Graphic 40" descr="Typewriter">
            <a:extLst>
              <a:ext uri="{FF2B5EF4-FFF2-40B4-BE49-F238E27FC236}">
                <a16:creationId xmlns:a16="http://schemas.microsoft.com/office/drawing/2014/main" id="{81389BC3-D4F1-73EC-E5CB-114942886E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27091" y="1050636"/>
            <a:ext cx="845128" cy="845128"/>
          </a:xfrm>
          <a:prstGeom prst="rect">
            <a:avLst/>
          </a:prstGeom>
        </xdr:spPr>
      </xdr:pic>
    </xdr:grpSp>
    <xdr:clientData/>
  </xdr:twoCellAnchor>
  <xdr:twoCellAnchor>
    <xdr:from>
      <xdr:col>17</xdr:col>
      <xdr:colOff>81107</xdr:colOff>
      <xdr:row>4</xdr:row>
      <xdr:rowOff>124500</xdr:rowOff>
    </xdr:from>
    <xdr:to>
      <xdr:col>21</xdr:col>
      <xdr:colOff>476538</xdr:colOff>
      <xdr:row>11</xdr:row>
      <xdr:rowOff>2311</xdr:rowOff>
    </xdr:to>
    <xdr:grpSp>
      <xdr:nvGrpSpPr>
        <xdr:cNvPr id="47" name="Group 46">
          <a:extLst>
            <a:ext uri="{FF2B5EF4-FFF2-40B4-BE49-F238E27FC236}">
              <a16:creationId xmlns:a16="http://schemas.microsoft.com/office/drawing/2014/main" id="{04CB817B-7E5A-869B-B295-5CD83E4AC198}"/>
            </a:ext>
          </a:extLst>
        </xdr:cNvPr>
        <xdr:cNvGrpSpPr/>
      </xdr:nvGrpSpPr>
      <xdr:grpSpPr>
        <a:xfrm>
          <a:off x="10416745" y="881096"/>
          <a:ext cx="2827346" cy="1201853"/>
          <a:chOff x="9656618" y="1032163"/>
          <a:chExt cx="2851727" cy="1166091"/>
        </a:xfrm>
      </xdr:grpSpPr>
      <xdr:sp macro="" textlink="">
        <xdr:nvSpPr>
          <xdr:cNvPr id="20" name="Rectangle: Rounded Corners 19">
            <a:extLst>
              <a:ext uri="{FF2B5EF4-FFF2-40B4-BE49-F238E27FC236}">
                <a16:creationId xmlns:a16="http://schemas.microsoft.com/office/drawing/2014/main" id="{65E12E93-3DC7-53EA-2B57-B6FB89219388}"/>
              </a:ext>
            </a:extLst>
          </xdr:cNvPr>
          <xdr:cNvSpPr/>
        </xdr:nvSpPr>
        <xdr:spPr>
          <a:xfrm>
            <a:off x="9656618" y="1032163"/>
            <a:ext cx="2851727" cy="1166091"/>
          </a:xfrm>
          <a:prstGeom prst="roundRect">
            <a:avLst/>
          </a:prstGeom>
          <a:solidFill>
            <a:schemeClr val="accent4">
              <a:lumMod val="60000"/>
              <a:lumOff val="40000"/>
              <a:alpha val="67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LID4096" sz="1100"/>
          </a:p>
        </xdr:txBody>
      </xdr:sp>
      <xdr:sp macro="" textlink="Supporting_pivot!H12">
        <xdr:nvSpPr>
          <xdr:cNvPr id="43" name="TextBox 42">
            <a:extLst>
              <a:ext uri="{FF2B5EF4-FFF2-40B4-BE49-F238E27FC236}">
                <a16:creationId xmlns:a16="http://schemas.microsoft.com/office/drawing/2014/main" id="{8C54BD63-946D-4E84-B4A2-F1918864701B}"/>
              </a:ext>
            </a:extLst>
          </xdr:cNvPr>
          <xdr:cNvSpPr txBox="1"/>
        </xdr:nvSpPr>
        <xdr:spPr>
          <a:xfrm>
            <a:off x="10877674" y="1678874"/>
            <a:ext cx="1451718" cy="365084"/>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08DDEF-97B2-478F-905C-1BF6AA18B77E}" type="TxLink">
              <a:rPr lang="en-US" sz="2400" b="0" i="0" u="none" strike="noStrike">
                <a:solidFill>
                  <a:srgbClr val="000000"/>
                </a:solidFill>
                <a:latin typeface="Calibri"/>
                <a:ea typeface="Calibri"/>
                <a:cs typeface="Calibri"/>
              </a:rPr>
              <a:pPr algn="ctr"/>
              <a:t> $ 3.61 K</a:t>
            </a:fld>
            <a:endParaRPr lang="LID4096" sz="8800"/>
          </a:p>
        </xdr:txBody>
      </xdr:sp>
      <xdr:sp macro="" textlink="">
        <xdr:nvSpPr>
          <xdr:cNvPr id="44" name="TextBox 43">
            <a:extLst>
              <a:ext uri="{FF2B5EF4-FFF2-40B4-BE49-F238E27FC236}">
                <a16:creationId xmlns:a16="http://schemas.microsoft.com/office/drawing/2014/main" id="{3DEC786A-AC54-4913-B68F-0DE299B18969}"/>
              </a:ext>
            </a:extLst>
          </xdr:cNvPr>
          <xdr:cNvSpPr txBox="1"/>
        </xdr:nvSpPr>
        <xdr:spPr>
          <a:xfrm>
            <a:off x="10543310" y="1237673"/>
            <a:ext cx="1894774" cy="357909"/>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latin typeface="Calibri"/>
                <a:ea typeface="Calibri"/>
                <a:cs typeface="Calibri"/>
              </a:rPr>
              <a:t>Average Gross</a:t>
            </a:r>
            <a:r>
              <a:rPr lang="en-US" sz="1600" b="1" i="0" u="none" strike="noStrike" baseline="0">
                <a:solidFill>
                  <a:srgbClr val="000000"/>
                </a:solidFill>
                <a:latin typeface="Calibri"/>
                <a:ea typeface="Calibri"/>
                <a:cs typeface="Calibri"/>
              </a:rPr>
              <a:t> Sales</a:t>
            </a:r>
            <a:endParaRPr lang="en-US" sz="1600" b="1" i="0" u="none" strike="noStrike">
              <a:solidFill>
                <a:srgbClr val="000000"/>
              </a:solidFill>
              <a:latin typeface="Calibri"/>
              <a:ea typeface="Calibri"/>
              <a:cs typeface="Calibri"/>
            </a:endParaRPr>
          </a:p>
        </xdr:txBody>
      </xdr:sp>
      <xdr:pic>
        <xdr:nvPicPr>
          <xdr:cNvPr id="46" name="Graphic 45" descr="Dollar">
            <a:extLst>
              <a:ext uri="{FF2B5EF4-FFF2-40B4-BE49-F238E27FC236}">
                <a16:creationId xmlns:a16="http://schemas.microsoft.com/office/drawing/2014/main" id="{7E22F69A-BC76-F483-BAF0-C9764F033BA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48271" y="1203035"/>
            <a:ext cx="819729" cy="819729"/>
          </a:xfrm>
          <a:prstGeom prst="rect">
            <a:avLst/>
          </a:prstGeom>
        </xdr:spPr>
      </xdr:pic>
    </xdr:grpSp>
    <xdr:clientData/>
  </xdr:twoCellAnchor>
  <xdr:twoCellAnchor>
    <xdr:from>
      <xdr:col>23</xdr:col>
      <xdr:colOff>215034</xdr:colOff>
      <xdr:row>4</xdr:row>
      <xdr:rowOff>123537</xdr:rowOff>
    </xdr:from>
    <xdr:to>
      <xdr:col>28</xdr:col>
      <xdr:colOff>15875</xdr:colOff>
      <xdr:row>10</xdr:row>
      <xdr:rowOff>181264</xdr:rowOff>
    </xdr:to>
    <xdr:grpSp>
      <xdr:nvGrpSpPr>
        <xdr:cNvPr id="52" name="Group 51">
          <a:extLst>
            <a:ext uri="{FF2B5EF4-FFF2-40B4-BE49-F238E27FC236}">
              <a16:creationId xmlns:a16="http://schemas.microsoft.com/office/drawing/2014/main" id="{FDD84877-6C24-6A0F-50AE-82C9AC2E9711}"/>
            </a:ext>
          </a:extLst>
        </xdr:cNvPr>
        <xdr:cNvGrpSpPr/>
      </xdr:nvGrpSpPr>
      <xdr:grpSpPr>
        <a:xfrm>
          <a:off x="14198545" y="880133"/>
          <a:ext cx="2840734" cy="1192620"/>
          <a:chOff x="12744449" y="1028700"/>
          <a:chExt cx="2817091" cy="1200727"/>
        </a:xfrm>
      </xdr:grpSpPr>
      <xdr:sp macro="" textlink="">
        <xdr:nvSpPr>
          <xdr:cNvPr id="21" name="Rectangle: Rounded Corners 20">
            <a:extLst>
              <a:ext uri="{FF2B5EF4-FFF2-40B4-BE49-F238E27FC236}">
                <a16:creationId xmlns:a16="http://schemas.microsoft.com/office/drawing/2014/main" id="{CFB138F7-01B2-24A6-A7B6-88F8DFED800B}"/>
              </a:ext>
            </a:extLst>
          </xdr:cNvPr>
          <xdr:cNvSpPr/>
        </xdr:nvSpPr>
        <xdr:spPr>
          <a:xfrm>
            <a:off x="12744449" y="1028700"/>
            <a:ext cx="2817091" cy="1200727"/>
          </a:xfrm>
          <a:prstGeom prst="roundRect">
            <a:avLst/>
          </a:prstGeom>
          <a:solidFill>
            <a:schemeClr val="accent6">
              <a:lumMod val="75000"/>
              <a:alpha val="57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LID4096" sz="1100"/>
          </a:p>
        </xdr:txBody>
      </xdr:sp>
      <xdr:sp macro="" textlink="Supporting_pivot!J12">
        <xdr:nvSpPr>
          <xdr:cNvPr id="48" name="TextBox 47">
            <a:extLst>
              <a:ext uri="{FF2B5EF4-FFF2-40B4-BE49-F238E27FC236}">
                <a16:creationId xmlns:a16="http://schemas.microsoft.com/office/drawing/2014/main" id="{04BF2C2D-C7E9-4435-8D70-CBB9D33B12DE}"/>
              </a:ext>
            </a:extLst>
          </xdr:cNvPr>
          <xdr:cNvSpPr txBox="1"/>
        </xdr:nvSpPr>
        <xdr:spPr>
          <a:xfrm>
            <a:off x="14089496" y="1733138"/>
            <a:ext cx="1270000" cy="390070"/>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39E3FF-35FC-4119-AD9E-564A41095331}" type="TxLink">
              <a:rPr lang="en-US" sz="2400" b="0" i="0" u="none" strike="noStrike">
                <a:solidFill>
                  <a:srgbClr val="000000"/>
                </a:solidFill>
                <a:latin typeface="Calibri"/>
                <a:ea typeface="Calibri"/>
                <a:cs typeface="Calibri"/>
              </a:rPr>
              <a:pPr algn="ctr"/>
              <a:t>8.4K</a:t>
            </a:fld>
            <a:endParaRPr lang="LID4096" sz="23900"/>
          </a:p>
        </xdr:txBody>
      </xdr:sp>
      <xdr:sp macro="" textlink="">
        <xdr:nvSpPr>
          <xdr:cNvPr id="49" name="TextBox 48">
            <a:extLst>
              <a:ext uri="{FF2B5EF4-FFF2-40B4-BE49-F238E27FC236}">
                <a16:creationId xmlns:a16="http://schemas.microsoft.com/office/drawing/2014/main" id="{DEE84B93-2AF0-4904-8E86-A3410E2337E9}"/>
              </a:ext>
            </a:extLst>
          </xdr:cNvPr>
          <xdr:cNvSpPr txBox="1"/>
        </xdr:nvSpPr>
        <xdr:spPr>
          <a:xfrm>
            <a:off x="13599391" y="1274618"/>
            <a:ext cx="1868797" cy="369455"/>
          </a:xfrm>
          <a:prstGeom prst="rect">
            <a:avLst/>
          </a:prstGeom>
          <a:solidFill>
            <a:schemeClr val="accent5">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latin typeface="Calibri"/>
                <a:ea typeface="Calibri"/>
                <a:cs typeface="Calibri"/>
              </a:rPr>
              <a:t>Average Unit Sold</a:t>
            </a:r>
          </a:p>
        </xdr:txBody>
      </xdr:sp>
      <xdr:pic>
        <xdr:nvPicPr>
          <xdr:cNvPr id="51" name="Graphic 50" descr="Box">
            <a:extLst>
              <a:ext uri="{FF2B5EF4-FFF2-40B4-BE49-F238E27FC236}">
                <a16:creationId xmlns:a16="http://schemas.microsoft.com/office/drawing/2014/main" id="{1B9F3E53-5E01-145F-37C8-84B434EF547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910704" y="1260763"/>
            <a:ext cx="845705" cy="883228"/>
          </a:xfrm>
          <a:prstGeom prst="rect">
            <a:avLst/>
          </a:prstGeom>
        </xdr:spPr>
      </xdr:pic>
    </xdr:grpSp>
    <xdr:clientData/>
  </xdr:twoCellAnchor>
  <xdr:twoCellAnchor>
    <xdr:from>
      <xdr:col>0</xdr:col>
      <xdr:colOff>15875</xdr:colOff>
      <xdr:row>0</xdr:row>
      <xdr:rowOff>63500</xdr:rowOff>
    </xdr:from>
    <xdr:to>
      <xdr:col>28</xdr:col>
      <xdr:colOff>95250</xdr:colOff>
      <xdr:row>4</xdr:row>
      <xdr:rowOff>47625</xdr:rowOff>
    </xdr:to>
    <xdr:sp macro="" textlink="">
      <xdr:nvSpPr>
        <xdr:cNvPr id="72" name="Rectangle 71">
          <a:extLst>
            <a:ext uri="{FF2B5EF4-FFF2-40B4-BE49-F238E27FC236}">
              <a16:creationId xmlns:a16="http://schemas.microsoft.com/office/drawing/2014/main" id="{A2E9BF6C-FA3D-DC13-E120-257296AEDD1C}"/>
            </a:ext>
          </a:extLst>
        </xdr:cNvPr>
        <xdr:cNvSpPr/>
      </xdr:nvSpPr>
      <xdr:spPr>
        <a:xfrm>
          <a:off x="15875" y="63500"/>
          <a:ext cx="16970375" cy="746125"/>
        </a:xfrm>
        <a:prstGeom prst="rect">
          <a:avLst/>
        </a:prstGeom>
        <a:solidFill>
          <a:schemeClr val="accent5">
            <a:lumMod val="75000"/>
            <a:alpha val="67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cap="none" spc="50">
              <a:ln w="9525" cmpd="sng">
                <a:solidFill>
                  <a:schemeClr val="accent1"/>
                </a:solidFill>
                <a:prstDash val="solid"/>
              </a:ln>
              <a:solidFill>
                <a:srgbClr val="70AD47">
                  <a:tint val="1000"/>
                </a:srgbClr>
              </a:solidFill>
              <a:effectLst>
                <a:glow rad="38100">
                  <a:schemeClr val="accent1">
                    <a:alpha val="40000"/>
                  </a:schemeClr>
                </a:glow>
              </a:effectLst>
            </a:rPr>
            <a:t>Author</a:t>
          </a:r>
          <a:r>
            <a:rPr lang="en-US" sz="3600" b="1" cap="none" spc="50" baseline="0">
              <a:ln w="9525" cmpd="sng">
                <a:solidFill>
                  <a:schemeClr val="accent1"/>
                </a:solidFill>
                <a:prstDash val="solid"/>
              </a:ln>
              <a:solidFill>
                <a:srgbClr val="70AD47">
                  <a:tint val="1000"/>
                </a:srgbClr>
              </a:solidFill>
              <a:effectLst>
                <a:glow rad="38100">
                  <a:schemeClr val="accent1">
                    <a:alpha val="40000"/>
                  </a:schemeClr>
                </a:glow>
              </a:effectLst>
            </a:rPr>
            <a:t> Performance Analysis</a:t>
          </a:r>
          <a:endParaRPr lang="LID4096"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dya" refreshedDate="46237.736058333336" createdVersion="8" refreshedVersion="8" minRefreshableVersion="3" recordCount="1047" xr:uid="{F15F1269-44F8-4D84-8122-D98B08A4CB8F}">
  <cacheSource type="worksheet">
    <worksheetSource name="book_sales"/>
  </cacheSource>
  <cacheFields count="16">
    <cacheField name="index" numFmtId="0">
      <sharedItems containsSemiMixedTypes="0" containsString="0" containsNumber="1" containsInteger="1" minValue="0" maxValue="1069"/>
    </cacheField>
    <cacheField name="Publishing Year" numFmtId="0">
      <sharedItems containsSemiMixedTypes="0" containsString="0" containsNumber="1" containsInteger="1" minValue="-560" maxValue="2016"/>
    </cacheField>
    <cacheField name="publishing era" numFmtId="0">
      <sharedItems count="3">
        <s v="20th Century (1900-1999)"/>
        <s v="21st Century (2000+)"/>
        <s v="Classic (Before 1900)"/>
      </sharedItems>
    </cacheField>
    <cacheField name="Book Name" numFmtId="0">
      <sharedItems containsMixedTypes="1" containsNumber="1" containsInteger="1" minValue="1776" maxValue="1776" count="1045">
        <s v="The House at Pooh Corner"/>
        <s v="The Silent Wife"/>
        <s v="Ã˜Â§Ã™â€žÃ™ÂÃ™Å Ã™â€ž Ã˜Â§Ã™â€žÃ˜Â£Ã˜Â²Ã˜Â±Ã™â€š"/>
        <s v="Ã˜Â§Ã™â€žÃ˜Â£Ã˜Â³Ã™Ë†Ã˜Â¯ Ã™Å Ã™â€žÃ™Å Ã™â€š Ã˜Â¨Ã™Æ’"/>
        <s v="Fallen Too Far (Too Far, #1)"/>
        <s v="Never Too Far (Too Far, #2)"/>
        <s v="The Orphan Master's Son"/>
        <s v="Go the Fuck to Sleep"/>
        <s v="Aesopica"/>
        <s v="Murder in the Calais Coach"/>
        <s v="Murder at the Vicarage"/>
        <s v="The Murder of Roger Ackroyd"/>
        <s v="The Mysterious Affair at Styles"/>
        <s v="The Sweetness at the Bottom of the Pie"/>
        <s v="Moloka'i"/>
        <s v="Batman: The Killing Joke "/>
        <s v="La peste"/>
        <s v="Brave New World/Brave New World Revisited"/>
        <s v="ÃÅ¾ÃÂ´ÃÂ¸ÃÂ½ ÃÂ´ÃÂµÃÂ½Ã‘Å’ ÃËœÃÂ²ÃÂ°ÃÂ½ÃÂ° Ãâ€ÃÂµÃÂ½ÃÂ¸Ã‘ÂÃÂ¾ÃÂ²ÃÂ¸Ã‘â€¡ÃÂ°"/>
        <s v="Beastly (Beastly, #1, Kendra Chronicles, #1)"/>
        <s v="The Beach"/>
        <s v="Roots"/>
        <s v="The Darkest Minds"/>
        <s v="Wallbanger"/>
        <s v="Lucky"/>
        <s v="Howl and Other Poems "/>
        <s v="I'd Tell You I Love You, But Then I'd Have to Kill You"/>
        <s v="Heist Society"/>
        <s v="Crossed"/>
        <s v="Reached"/>
        <s v="Switched"/>
        <s v="The Immortals of Meluha"/>
        <s v="The Secret of the Nagas."/>
        <s v="Rules of Civility"/>
        <s v="The Bonesetter's Daughter"/>
        <s v="House of Sand and Fog"/>
        <s v="Frindle"/>
        <s v="Magyk"/>
        <s v="The Boston Girl"/>
        <s v="The Pilot's Wife"/>
        <s v="State of Wonder"/>
        <s v="Black and Blue"/>
        <s v="Dragonflight"/>
        <s v="The Vampire Lestat"/>
        <s v="The Queen of the Damned"/>
        <s v="The Witching Hour"/>
        <s v="The Tale of the Body Thief"/>
        <s v="A Spool of Blue Thread"/>
        <s v="The Accidental Tourist"/>
        <s v="The Shipping News"/>
        <s v="The Book of Mormon"/>
        <s v="Kitchen Confidential: Adventures in the Culinary Underbelly"/>
        <s v="The White Tiger"/>
        <s v="Frog and Toad Are Friends"/>
        <s v="Maus II : And Here My Troubles Began "/>
        <s v="The Complete Maus"/>
        <s v="Rendezvous with Rama"/>
        <s v="Childhood's End"/>
        <s v="The Complete Sherlock Holmes"/>
        <s v="The Memoirs of Sherlock Holmes"/>
        <s v="The Hound of the Baskervilles"/>
        <s v="Sherlock Holmes: The Complete Novels and Stories, Vol 2"/>
        <s v="Death of a Salesman"/>
        <s v="Pippi LÃƒÂ¥ngstrump"/>
        <s v="Being Mortal: Medicine and What Matters in the End"/>
        <s v="Her Fearful Symmetry"/>
        <s v="Dry: A Memoir"/>
        <s v="Steal Like an Artist"/>
        <s v="Infidel"/>
        <s v="Anthem"/>
        <s v="Reading Lolita in Tehran: A Memoir in Books"/>
        <s v="Modern Romance"/>
        <s v="Behind Closed Doors"/>
        <s v="Dreams from My Father"/>
        <s v="The Audacity of Hope: Thoughts on Reclaiming the American Dream"/>
        <s v="The Bean Trees"/>
        <s v="Prodigal Summer"/>
        <s v="Flight Behavior"/>
        <s v="Animal, Vegetable, Miracle: A Year of Food Life"/>
        <s v="The Tale of Peter Rabbit"/>
        <s v="Silence "/>
        <s v="Finale"/>
        <s v="Aristotle and Dante Discover the Secrets of the Universe"/>
        <s v="The Tao of Pooh"/>
        <s v="Der Vorleser"/>
        <s v="Saving CeeCee Honeycutt"/>
        <s v="Across the Universe"/>
        <s v="Better Homes &amp; Gardens New Cook Book"/>
        <s v="Beezus and Ramona"/>
        <s v="Notes from a Small Island"/>
        <s v="Down Under"/>
        <s v="Brown Bear, Brown Bear, What Do You See?"/>
        <s v="Chicka Chicka Boom Boom"/>
        <s v="Killing Lincoln: The Shocking Assassination that Changed America Forever"/>
        <s v="The Essential Calvin and Hobbes: A Calvin and Hobbes Treasury"/>
        <s v="Calvin and Hobbes"/>
        <s v="Fables, Volume 1: Legends in Exile"/>
        <s v="Ã¦Â¡Å“Ã¨ËœÂ­Ã©Â«ËœÃ¦Â Â¡Ã£Æ’â€ºÃ£â€šÂ¹Ã£Æ’Ë†Ã©Æ’Â¨ 1"/>
        <s v="Pines"/>
        <s v="Ãâ€ÃÂ¾ÃÂºÃ‘â€šÃÂ¾Ã‘â‚¬ Ãâ€“ÃÂ¸ÃÂ²ÃÂ°ÃÂ³ÃÂ¾"/>
        <s v="Fablehaven"/>
        <s v="Grip of the Shadow Plague"/>
        <s v="The Way of Kings"/>
        <s v="The Hero of Ages"/>
        <s v="Words of Radiance"/>
        <s v="Steelheart"/>
        <s v="Elantris"/>
        <s v="The Alloy of Law"/>
        <s v="The Way of Shadows"/>
        <s v="Shadow's Edge"/>
        <s v="The Black Prism"/>
        <s v="The Elegant Universe: Superstrings, Hidden Dimensions, and the Quest for the Ultimate Theory"/>
        <s v="Redwall"/>
        <s v="Saga, Volume One"/>
        <s v="Y: The Last Man, Vol. 1: Unmanned"/>
        <s v="The Invention of Hugo Cabret"/>
        <s v="The Prayer of Jabez:  Breaking Through to the Blessed Life"/>
        <s v="Scott Pilgrim, Volume 1: Scott Pilgrim's Precious Little Life"/>
        <s v="The Power of One"/>
        <s v="The horse and his boy"/>
        <s v="The Last Battle"/>
        <s v="The Great Divorce"/>
        <s v="The Silver Chair"/>
        <s v="How to Be a Woman"/>
        <s v="The Alienist"/>
        <s v="Hoot"/>
        <s v="Contact"/>
        <s v="Cosmos"/>
        <s v="El juego del ÃƒÂ¡ngel"/>
        <s v="Tell the Wolves I'm Home"/>
        <s v="The Heart is a Lonely Hunter"/>
        <s v="City of Heavenly Fire"/>
        <s v="Twilight Director's Notebook"/>
        <s v="Where Rainbows End"/>
        <s v="Everything I Never Told You"/>
        <s v="The Art of Fielding"/>
        <s v="The Chosen"/>
        <s v="Dead to the World"/>
        <s v="Club Dead"/>
        <s v="All Together Dead"/>
        <s v="Dead as a Doornail "/>
        <s v="Definitely Dead (Sookie Stackhouse, #6)"/>
        <s v="From Dead to Worse"/>
        <s v="Dead and Gone"/>
        <s v="Dead in the Family"/>
        <s v="Dead Reckoning"/>
        <s v="Deadlocked"/>
        <s v="Post Office"/>
        <s v="Ham on Rye"/>
        <s v="On the Origin of Species by Means of Natural Selection or the Preservation of Favoured Races in the Struggle for Life"/>
        <s v="David Copperfield"/>
        <s v="Bleak House"/>
        <s v="The Power of Habit"/>
        <s v="Are You There, Vodka? It's Me, Chelsea"/>
        <s v="My Horizontal Life: A Collection of One-Night Stands"/>
        <s v="Chelsea Chelsea Bang Bang"/>
        <s v="Five Point Someone: What Not to Do at IIT"/>
        <s v="Two States"/>
        <s v="The 3 Mistakes of My Life"/>
        <s v="Americanah"/>
        <s v="Midwives"/>
        <s v="American Sniper: The Autobiography of the Most Lethal Sniper in U.S. Military History"/>
        <s v="The Polar Express"/>
        <s v="Beautiful Bastard"/>
        <s v="Drowning Ruth"/>
        <s v="God is Not Great: How Religion Poisons Everything"/>
        <s v="Born to Run: A Hidden Tribe, Superathletes, and the Greatest Race the World Has Never Seen"/>
        <s v="Lamb: The Gospel According to Biff, Christ's Childhood Pal"/>
        <s v="A Dirty Job"/>
        <s v="Inheritance"/>
        <s v="Bud, Not Buddy"/>
        <s v="Sex, Drugs, and Cocoa Puffs: A Low Culture Manifesto"/>
        <s v="Invisible Monsters"/>
        <s v="Survivor"/>
        <s v="Lullaby"/>
        <s v="Haunted: A Novel of Stories"/>
        <s v="Diary"/>
        <s v="Hopeless"/>
        <s v="Slammed"/>
        <s v="Point of Retreat"/>
        <s v="Maybe Someday"/>
        <s v="Ugly Love"/>
        <s v="It Ends with Us"/>
        <s v="Brooklyn"/>
        <s v="The Underground Railroad"/>
        <s v="Let the Great World Spin"/>
        <s v="Losing It"/>
        <s v="No Country for Old Men"/>
        <s v="Blood Meridian: Or the Evening Redness in the West"/>
        <s v="All the Pretty Horses"/>
        <s v="Tintenblut"/>
        <s v="Blankets"/>
        <s v="Harold and the Purple Crayon"/>
        <s v="The Nest"/>
        <s v="Unearthly"/>
        <s v="The Art of Happiness: A Handbook for Living"/>
        <s v="Predictably Irrational: The Hidden Forces that Shape Our Decisions"/>
        <s v="Hyperion"/>
        <s v="The Fall of Hyperion"/>
        <s v="The Boys in the Boat: Nine Americans and Their Epic Quest for Gold at the 1936 Berlin Olympics"/>
        <s v="Thinking, Fast and Slow"/>
        <s v="Ishmael: An Adventure of the Mind and Spirit"/>
        <s v="La Divina Commedia"/>
        <s v="Inferno"/>
        <s v="The Maltese Falcon"/>
        <s v="The Circle"/>
        <s v="What Is the What: The Autobiography of Valentino Achak Deng"/>
        <s v="Zeitoun"/>
        <s v="Getting Things Done: How To Achieve Stress-free Productivity"/>
        <s v="Absolute Power"/>
        <s v="The Camel Club"/>
        <s v="City of Thieves"/>
        <s v="Magician's Gambit"/>
        <s v="Enchanters' End Game"/>
        <s v="Snow Falling on Cedars"/>
        <s v="Det som inte dÃƒÂ¶dar oss"/>
        <s v="Every Day"/>
        <n v="1776"/>
        <s v="The Bone Clocks"/>
        <s v="When You Are Engulfed in Flames"/>
        <s v="Holidays on Ice"/>
        <s v="Lets Explore Diabetes with Owls"/>
        <s v="The Story of Edgar Sawtelle"/>
        <s v="Watchers"/>
        <s v="Intensity"/>
        <s v="Shadow of Night"/>
        <s v="The Book of Life"/>
        <s v="Shutter Island"/>
        <s v="Mystic River"/>
        <s v="Voyager"/>
        <s v="Drums of Autumn (Outlander, #4)"/>
        <s v="The Fiery Cross"/>
        <s v="A Breath of Snow and Ashes"/>
        <s v="An Echo in the Bone"/>
        <s v="Howl's Moving Castle"/>
        <s v="White Noise"/>
        <s v="Corduroy"/>
        <s v="90 Minutes in Heaven"/>
        <s v="Blue Like Jazz: Nonreligious Thoughts on Christian Spirituality"/>
        <s v="Team of Rivals: The Political Genius of Abraham Lincoln"/>
        <s v="The Restaurant at the End of the Universe"/>
        <s v="Life, the Universe and Everything"/>
        <s v="So Long, and Thanks for All the Fish"/>
        <s v="Dirk Gently's Holistic Detective Agency"/>
        <s v="Mostly Harmless"/>
        <s v="Relic"/>
        <s v="One Fish, Two Fish, Red Fish, Blue Fish"/>
        <s v="Horton Hears a Who!"/>
        <s v="Stuart Little"/>
        <s v="The Story of Art"/>
        <s v="Grey"/>
        <s v="From the Mixed-Up Files of Mrs. Basil E. Frankweiler"/>
        <s v="A Room with a View"/>
        <s v="A New Earth: Awakening to Your Life's Purpose"/>
        <s v="The Power of Now"/>
        <s v="Ethan Frome"/>
        <s v="The Age of Innocence"/>
        <s v="The House of Mirth"/>
        <s v="One Piece, Volume 01"/>
        <s v="L'amica geniale"/>
        <s v="The Forty Rules of Love"/>
        <s v="North and South"/>
        <s v="The Witch of Blackbird Pond"/>
        <s v="The Signature of All Things"/>
        <s v="Olive Kitteridge"/>
        <s v="Seriously...I'm Kidding"/>
        <s v="Crank (Crank, #1)"/>
        <s v="The Westing Game"/>
        <s v="The Complete Poems of Emily Dickinson"/>
        <s v="Baby Proof"/>
        <s v="Love the One You're With"/>
        <s v="Heart of the Matter"/>
        <s v="Where We Belong"/>
        <s v="The Girls"/>
        <s v="The Scarlet Pimpernel"/>
        <s v="The Arctic Incident"/>
        <s v="The Eternity Code"/>
        <s v="The Opal Deception"/>
        <s v="The Lost Colony"/>
        <s v="The Snow Child"/>
        <s v="The Lean StartupÃ¢â‚¬Å½"/>
        <s v="In the Garden of Beasts: Love, Terror, and an American Family in Hitler's Berlin"/>
        <s v="Dead Wake: The Last Crossing of the Lusitania"/>
        <s v="A Moveable Feast"/>
        <s v="Caps for sale: a tale of a peddler, some monkeys and their monkey business"/>
        <s v="Brideshead Revisited: The Sacred and Profane Memories of Captain Charles Ryder"/>
        <s v="The Snowy Day"/>
        <s v="Tender Is the Night"/>
        <s v="Anne Rice's The Vampire Lestat: The Graphic Novel"/>
        <s v="Sybil"/>
        <s v="A Little Princess"/>
        <s v="Crazy Love: Overwhelmed by a Relentless God"/>
        <s v="This Present Darkness"/>
        <s v="Dune Messiah "/>
        <s v="Children of Dune"/>
        <s v="Batman: Year One"/>
        <s v="Batman: The Dark Knight Returns"/>
        <s v="PostSecret: Extraordinary Confessions from Ordinary Lives"/>
        <s v="Der ProzeÃƒÅ¸"/>
        <s v="Old Yeller"/>
        <s v="The Day of the Jackal"/>
        <s v="Also sprach Zarathustra"/>
        <s v="Ãâ€”ÃÂ°ÃÂ¿ÃÂ¸Ã‘ÂÃÂºÃÂ¸ ÃÂ¸ÃÂ· ÃÂ¿ÃÂ¾ÃÂ´ÃÂ¿ÃÂ¾ÃÂ»Ã‘Å’Ã‘Â"/>
        <s v="ÃËœÃÂ´ÃÂ¸ÃÂ¾Ã‘â€š"/>
        <s v="CrÃƒÂ³nica de una muerte anunciada"/>
        <s v="The Storied Life of A.J. Fikry"/>
        <s v="Sabriel"/>
        <s v="Abhorsen"/>
        <s v="Lirael"/>
        <s v="Le FantÃƒÂ´me de l'OpÃƒÂ©ra"/>
        <s v="Tales of Caunterbury"/>
        <s v="Pygmalion"/>
        <s v="Middlemarch"/>
        <s v=" Animal Farm &amp; 1984"/>
        <s v="A Storm of Swords: Part 2 Blood and Gold"/>
        <s v="Year of Wonders: A Novel of the Plague"/>
        <s v="People of the Book"/>
        <s v="The Boxcar Children"/>
        <s v="The Rosie Effect"/>
        <s v="Shantaram"/>
        <s v="The Happiness Project"/>
        <s v="The Strain"/>
        <s v="Madame Bovary"/>
        <s v="Curious George"/>
        <s v="The Invisible Man"/>
        <s v="The Island of Dr. Moreau"/>
        <s v="The War of the Worlds"/>
        <s v="Ã©â‚¬Â²Ã¦â€™Æ’Ã£ÂÂ®Ã¥Â·Â¨Ã¤ÂºÂº 1"/>
        <s v="Eventyr og historier"/>
        <s v="A Little Life"/>
        <s v="Tell No One"/>
        <s v="Go Set a Watchman"/>
        <s v="Uncle Tom's Cabin or Life Among the Lowly"/>
        <s v="Miss Nelson Is Missing!"/>
        <s v="Ã¤Â¸â€“Ã§â€¢Å’Ã£ÂÂ®Ã§Âµâ€šÃ£â€šÅ Ã£ÂÂ¨Ã£Æ’ÂÃ£Æ’Â¼Ã£Æ’â€°Ã£Æ’Å“Ã£â€šÂ¤Ã£Æ’Â«Ã£Æ’â€°Ã£Æ’Â»Ã£Æ’Â¯Ã£Æ’Â³Ã£Æ’â‚¬Ã£Æ’Â¼Ã£Æ’Â©Ã£Æ’Â³Ã£Æ’â€° [Sekai no owari to hÃ„Âdoboirudo wandÃ„Ârando]"/>
        <s v="Ã§Â¾Å Ã£â€šâ€™Ã£â€šÂÃ£ÂÂÃ£â€šâ€¹Ã¥â€ â€™Ã©â„¢Âº [HitsujiwomegurubÃ…Âken]"/>
        <s v="Ã£â€šÂ¢Ã£Æ’â€¢Ã£â€šÂ¿Ã£Æ’Â¼Ã£Æ’â‚¬Ã£Æ’Â¼Ã£â€šÂ¯ [AfutÃ„Â dÃ„Âku]"/>
        <s v="Ã£Ââ€žÃ£ÂÂ¡Ã£ÂÂÃ£â€šâ€¦Ã£Ââ€ Ã£ÂÂ¯Ã£ÂÂ¡Ã£â€šË†Ã£â€šâ€œ [Ichi-KyÃ…Â«-Hachi-Yon]"/>
        <s v="Ã¨â€°Â²Ã¥Â½Â©Ã£â€šâ€™Ã¦Å’ÂÃ£ÂÅ¸Ã£ÂÂªÃ£Ââ€žÃ¥Â¤Å¡Ã¥Â´Å½Ã£ÂÂ¤Ã£ÂÂÃ£â€šâ€¹Ã£ÂÂ¨Ã£â‚¬ÂÃ¥Â½Â¼Ã£ÂÂ®Ã¥Â·Â¡Ã§Â¤Â¼Ã£ÂÂ®Ã¥Â¹Â´ [Shikisai o motanai Tazaki Tsukuru to, kare no junrei no toshi]"/>
        <s v="Ã£â€šÂ¹Ã£Æ’â€”Ã£Æ’Â¼Ã£Æ’Ë†Ã£Æ’â€¹Ã£â€šÂ¯Ã£ÂÂ®Ã¦Ââ€¹Ã¤ÂºÂº [SupÃ…Â«toniku no Koibito]"/>
        <s v="Bridget Jones: The Edge of Reason"/>
        <s v="The Story of My Life"/>
        <s v="Major Pettigrew's Last Stand"/>
        <s v="The Golem and the Jinni"/>
        <s v="Et dukkehjem"/>
        <s v="Walden; or Life in the Woods"/>
        <s v="Het diner"/>
        <s v="Der Steppenwolf: ErzÃƒÂ¤hlung"/>
        <s v="Wolf Hall"/>
        <s v="Fairy Tail 1"/>
        <s v="Ã©â€¹Â¼Ã£ÂÂ®Ã©Å’Â¬Ã©â€¡â€˜Ã¨Â¡â€œÃ¥Â¸Â« 1"/>
        <s v="A People's History of the United States: 1492 to Present "/>
        <s v="Wool Omnibus"/>
        <s v="My Life Next Door "/>
        <s v="Rosemary's Baby"/>
        <s v="The Joy of Cooking"/>
        <s v="Trainspotting"/>
        <s v="The Agony and the Ecstasy: A Biographical Novel of Michelangelo"/>
        <s v="Foundation and Empire"/>
        <s v="The Foundation Trilogy"/>
        <s v="Warm Bodies"/>
        <s v="La casa de los espÃƒÂ­ritus"/>
        <s v="Hija de la fortuna"/>
        <s v="A Long Way Gone. Memoirs of a Boy Soldier"/>
        <s v="Wait for You"/>
        <s v="The Edge of Never"/>
        <s v="Naked in Death"/>
        <s v="Nine Stories"/>
        <s v="Hillbilly Elegy. A Memoir of a Family and Culture in Crisis"/>
        <s v="Disgrace"/>
        <s v="Lover Awakened (Black Dagger Brotherhood, #3)"/>
        <s v="Lover Eternal (Black Dagger Brotherhood, #2)"/>
        <s v="Lover Revealed"/>
        <s v="Lover Unbound"/>
        <s v="Lover Enshrined, part one"/>
        <s v="Lover Enshrined, part two"/>
        <s v="Lover Avenged, part one"/>
        <s v="The Hobbit and The Lord of the Rings"/>
        <s v="The Silmarillion"/>
        <s v="The Dharma Bums"/>
        <s v="White Fang"/>
        <s v="BrÃƒÂ¼der Grimm: Kinder- und HausmÃƒÂ¤rchen"/>
        <s v="The Deep End of the Ocean"/>
        <s v="Hawaii"/>
        <s v="Good to Great: Why Some Companies Make the Leap... and Others Don't"/>
        <s v="ShÃ…Âgun"/>
        <s v="The Kill Order"/>
        <s v="The Black Dahlia"/>
        <s v="The Last of the Mohicans: A Narrative of 1757"/>
        <s v="All Creatures Great And Small"/>
        <s v="Ulysses"/>
        <s v="Dubliners"/>
        <s v="A Portrait of the Artist as a Young Man"/>
        <s v="The Color of Water: A Black Man's Tribute to His White Mother"/>
        <s v="The Angel Experiment"/>
        <s v="Suzanne's Diary for Nicholas"/>
        <s v="Sam's Letters To Jennifer"/>
        <s v="School's Out Forever"/>
        <s v="Saving The World and Other Extreme Sports"/>
        <s v="2nd Chance"/>
        <s v="The Beach House"/>
        <s v="The Celestine Prophecy"/>
        <s v="Leviathan Wakes"/>
        <s v="Walking Disaster"/>
        <s v="I'll Give You the Sun"/>
        <s v="Jemima J"/>
        <s v="Mr Maybe"/>
        <s v="A Map of the World"/>
        <s v="Stellaluna"/>
        <s v="Two for the Dough"/>
        <s v="Three to Get Deadly"/>
        <s v="Four to Score "/>
        <s v="Hot Six"/>
        <s v="High Five"/>
        <s v="Seven Up"/>
        <s v="To the Nines"/>
        <s v="Janet Evanovich Three and Four Two-Book Set (Stephanie Plum, #3-4)"/>
        <s v="Eleven on Top"/>
        <s v="Hard Eight"/>
        <s v="Rework"/>
        <s v="The Eyre Affair"/>
        <s v="The Amityville Horror"/>
        <s v="A Stolen Life"/>
        <s v="Halfway to the Grave"/>
        <s v="Half Broke Horses: A True Life Novel"/>
        <s v="Rodrick Rules"/>
        <s v="The Last Straw"/>
        <s v="Dog Days"/>
        <s v="The Ugly Truth"/>
        <s v="Cabin Fever"/>
        <s v="Out from Boneville"/>
        <s v="The Bone Collector"/>
        <s v="Kane and Abel"/>
        <s v="The Virgin Suicides"/>
        <s v="The Marriage Plot"/>
        <s v="Those Who Save Us"/>
        <s v="Bet Me"/>
        <s v="The Statistical Probability of Love at First Sight"/>
        <s v="A Visit From the Goon Squad"/>
        <s v="Obsidian"/>
        <s v="Onyx"/>
        <s v="Opal"/>
        <s v="All the Bright Places"/>
        <s v="The Marriage Bargain"/>
        <s v="Little Earthquakes"/>
        <s v="Let's Pretend This Never Happened (A Mostly True Memoir)"/>
        <s v="To All the Boys I've Loved Before"/>
        <s v="The Summer I Turned Pretty"/>
        <s v="It's Not Summer Without You"/>
        <s v="Maniac Magee"/>
        <s v="Beautiful Ruins"/>
        <s v="Me and Earl and the Dying Girl"/>
        <s v="Luckiest Girl Alive"/>
        <s v="The Coincidence of Callie &amp; Kayden"/>
        <s v="The Miniaturist"/>
        <s v="Interpreter of Maladies"/>
        <s v="The Lowland"/>
        <s v="Unaccustomed Earth"/>
        <s v="Fool Moon "/>
        <s v="Grave Peril"/>
        <s v="Summer Knight"/>
        <s v="Death Masks"/>
        <s v="Blood Rites"/>
        <s v="Dead Beat"/>
        <s v="Proven Guilty"/>
        <s v="White Night"/>
        <s v="Small Favor"/>
        <s v="Furies of Calderon "/>
        <s v="One Thousand White Women: The Journals of May Dodd"/>
        <s v="The Year of Magical Thinking"/>
        <s v="Chocolat"/>
        <s v="This Man"/>
        <s v="Plain Truth"/>
        <s v="The Storyteller"/>
        <s v="House Rules"/>
        <s v="The Tenth Circle"/>
        <s v="Leaving Time"/>
        <s v="Handle with Care"/>
        <s v="Change of Heart"/>
        <s v="Vanishing Acts"/>
        <s v="Keeping Faith"/>
        <s v="Sing You Home"/>
        <s v="The Blade Itself"/>
        <s v="Before They Are Hanged"/>
        <s v="Last Argument of Kings"/>
        <s v="The Forever War"/>
        <s v="Horns"/>
        <s v="Heart-Shaped Box"/>
        <s v="Der Schweizerische Robinson"/>
        <s v="Heidi"/>
        <s v="Midnight in the Garden of Good and Evil"/>
        <s v="The History of the Hobbit, Part One: Mr. Baggins"/>
        <s v="The Ruins of Gorlan"/>
        <s v="The Burning Bridge"/>
        <s v="The Battle for Skandia (Ranger's Apprentice, #4)"/>
        <s v="Men Are from Mars, Women Are from Venus Book of Days: 365 Inspirations to Enrich Your Relationships"/>
        <s v="Let It Snow: Three Holiday Romances"/>
        <s v="The Rainmaker"/>
        <s v="The Chamber"/>
        <s v="The Partner"/>
        <s v="The Street Lawyer"/>
        <s v="The Testament"/>
        <s v="Sycamore Row"/>
        <s v="The Brethren"/>
        <s v="The Broker"/>
        <s v="The Last Juror"/>
        <s v="The King of Torts"/>
        <s v="The Racketeer"/>
        <s v="A Painted House"/>
        <s v="Gray Mountain"/>
        <s v="The Cider House Rules"/>
        <s v="A Separate Peace"/>
        <s v="Paradise Lost"/>
        <s v="Old Man's War"/>
        <s v="The Pearl of the World"/>
        <s v="Cannery Row "/>
        <s v="After You"/>
        <s v="The One Plus One"/>
        <s v="The Girl You Left Behind"/>
        <s v="Under the Banner of Heaven: A Story of Violent Faith"/>
        <s v="The Psychopath Test"/>
        <s v="The True Story of the Three Little Pigs"/>
        <s v="The Stinky Cheese Man and Other Fairly Stupid Tales"/>
        <s v="America (The Book): A Citizen's Guide to Democracy Inaction"/>
        <s v="The Monster at the End of This Book"/>
        <s v="HundraÃƒÂ¥ringen som klev ut genom fÃƒÂ¶nstret och fÃƒÂ¶rsvann"/>
        <s v="Freedom"/>
        <s v="The Corrections"/>
        <s v="Everything Is Illuminated"/>
        <s v="The Amulet of Samarkand"/>
        <s v="The Golem's Eye"/>
        <s v="Ptolemy's Gate"/>
        <s v="This Is Where I Leave You"/>
        <s v="Ensaio Sobre a Cegueira"/>
        <s v="Sofies Verden"/>
        <s v="We Were the Mulvaneys"/>
        <s v="Cloudy with a Chance of Meatballs"/>
        <s v="Alexander and the Terrible, Horrible, No Good, Very Bad Day"/>
        <s v="Are You There God? It's Me, Margaret"/>
        <s v="Tales of a Fourth Grade Nothing"/>
        <s v="Summer Sisters"/>
        <s v="Voyage au centre de la Terre"/>
        <s v="Vingt Mille Lieues Sous les Mers"/>
        <s v="Le tour du monde en quatre-vingts jours"/>
        <s v="The Artist's Way: A Spiritual Path to Higher Creativity"/>
        <s v="My Life in France"/>
        <s v="The Sense of an Ending"/>
        <s v="The Iron King (The Iron Fey, #1) "/>
        <s v="The Iron Daughter"/>
        <s v="The Iron Queen"/>
        <s v="Julie &amp; Julia: 365 Days, 524 Recipes, 1 Tiny Apartment Kitchen"/>
        <s v="Wild Swans: Three Daughters of China"/>
        <s v="This is How You Lose Her"/>
        <s v="The Passage"/>
        <s v="The Twelve"/>
        <s v="Sh*t My Dad Says"/>
        <s v="Beautiful Darkness"/>
        <s v="Beautiful Chaos"/>
        <s v="We Are All Completely Beside Ourselves"/>
        <s v="Darkfever"/>
        <s v="The Age of Miracles"/>
        <s v="Pretty Girls"/>
        <s v="Manifest der Kommunistischen Partei"/>
        <s v="Life After Life"/>
        <s v="The Awakening"/>
        <s v="Because of Winn-Dixie"/>
        <s v=" The Tale of Despereaux"/>
        <s v="The Forgotten Garden"/>
        <s v="The Secret Keeper"/>
        <s v="The Shifting Fog"/>
        <s v="The One and Only Ivan"/>
        <s v="Behind the Beautiful Forevers: Life, Death, and Hope in a Mumbai Undercity"/>
        <s v="DÃƒÂ©jÃƒÂ  Dead"/>
        <s v="Pushing the Limits"/>
        <s v="The Remains of the Day"/>
        <s v="Life"/>
        <s v="The Summoning"/>
        <s v="The Reckoning"/>
        <s v="World Without End"/>
        <s v="Storm Island"/>
        <s v="Winter of the World"/>
        <s v="The Wind in the Willows"/>
        <s v="The One Minute Manager"/>
        <s v="Quidditch Through the Ages"/>
        <s v="The Heir"/>
        <s v="Dead Witch Walking"/>
        <s v="Reconstructing Amelia"/>
        <s v="The DUFF: Designated Ugly Fat Friend"/>
        <s v="Fire"/>
        <s v="Firefly Lane"/>
        <s v="Winter Garden"/>
        <s v="Night Road"/>
        <s v="The Sirens of Titan"/>
        <s v="The Complete Anne of Green Gables Boxed Set"/>
        <s v="Anne of the Island"/>
        <s v="Anne of Avonlea"/>
        <s v="Daughter of Smoke &amp; Bone"/>
        <s v="Days of Blood &amp; Starlight"/>
        <s v="Ã©Ââ€œÃ¥Â¾Â·Ã§Â¶â€œ [dÃƒÂ o dÃƒÂ© jÃ„Â«ng]"/>
        <s v="Lonesome Dove"/>
        <s v="Ringworld"/>
        <s v="Seabiscuit"/>
        <s v="Little House on the Prairie"/>
        <s v="Little House In The Big Woods"/>
        <s v="The Little House Collection"/>
        <s v="Guilty Pleasures"/>
        <s v="Circus of the Damned (Anita Blake, Vampire Hunter, #3)"/>
        <s v="Wither"/>
        <s v="Fates and Furies"/>
        <s v="Torment"/>
        <s v="Passion"/>
        <s v="Rapture"/>
        <s v="Requiem"/>
        <s v="Chasing Harry Winston"/>
        <s v="Everyone Worth Knowing"/>
        <s v="Wintergirls"/>
        <s v="Fever 1793"/>
        <s v="One Shot"/>
        <s v="Die Trying (Jack Reacher, #2)"/>
        <s v="Tripwire"/>
        <s v="The Case for Christ"/>
        <s v="Shadow and Bone"/>
        <s v="The Reptile Room"/>
        <s v="The Wide Window"/>
        <s v="The Miserable Mill"/>
        <s v="The Austere Academy"/>
        <s v="The Vile Village"/>
        <s v="The Ersatz Elevator"/>
        <s v="The Slippery Slope"/>
        <s v="The Carnivorous Carnival"/>
        <s v="Not that Kind of Girl"/>
        <s v="Exodus"/>
        <s v="The Magicians"/>
        <s v="Through the Looking-Glass, and What Alice Found There"/>
        <s v="Truly Madly Guilty"/>
        <s v="A Great and Terrible Beauty"/>
        <s v="We Need to Talk About Kevin"/>
        <s v="Shanghai Girls"/>
        <s v="Gathering Blue"/>
        <s v="Messenger "/>
        <s v="Captain Corelli's Mandolin"/>
        <s v="The Round House"/>
        <s v="Angus, Thongs and Full-Frontal Snogging"/>
        <s v="Mad About Madeline"/>
        <s v="The Indian in the Cupboard"/>
        <s v="Eats, Shoots and Leaves"/>
        <s v="The Road Less Traveled:  A New Psychology of Love, Traditional Values, and Spiritual Growth"/>
        <s v="The Girl with All the Gifts"/>
        <s v="A Wind in the Door"/>
        <s v="A Swiftly Tilting Planet"/>
        <s v="The Raven Boys"/>
        <s v="Linger"/>
        <s v="Forever"/>
        <s v="David and Goliath"/>
        <s v="What the Dog Saw and Other Adventures"/>
        <s v="The Autobiography of Malcolm X"/>
        <s v="Lone Survivor: The Eyewitness Account of Operation Redwing and the Lost Heroes of SEAL Team 10"/>
        <s v="Oryx and Crake"/>
        <s v="The Blind Assassin"/>
        <s v="The Year of the Flood"/>
        <s v="Among the Hidden "/>
        <s v="Dragons of Autumn Twilight"/>
        <s v="The Velveteen Rabbit"/>
        <s v="Poison Study"/>
        <s v="Ã¤ÂºÂºÃ§â€Å¸Ã£ÂÅ’Ã£ÂÂ¨Ã£ÂÂÃ£â€šÂÃ£ÂÂÃ§â€°â€¡Ã£ÂÂ¥Ã£Ââ€˜Ã£ÂÂ®Ã©Â­â€Ã¦Â³â€¢"/>
        <s v="Prodigy"/>
        <s v="Champion"/>
        <s v="The Mists of Avalon"/>
        <s v="Scarlet"/>
        <s v="Cress"/>
        <s v="Winter"/>
        <s v="Persepolis"/>
        <s v="New Moon: The Complete Illustrated Movie Companion"/>
        <s v="The Prince and the Pauper"/>
        <s v="House of Leaves"/>
        <s v="The Messenger"/>
        <s v="The Good Girl"/>
        <s v="The Borrowers Afield"/>
        <s v="Stiff: The Curious Lives of Human Cadavers"/>
        <s v="NARUTO -Ã£Æ’Å Ã£Æ’Â«Ã£Æ’Ë†- Ã¥Â·Â»Ã£Æ’Å½Ã¤Â¸â‚¬ "/>
        <s v="Ã£Æ’Â´Ã£â€šÂ¡Ã£Æ’Â³Ã£Æ’â€˜Ã£â€šÂ¤Ã£â€šÂ¢Ã©Â¨Å½Ã¥Â£Â« 1"/>
        <s v="The Silver Linings Playbook"/>
        <s v="The Zombie Survival Guide: Complete Protection from the Living Dead"/>
        <s v="The Interestings"/>
        <s v="The Girls' Guide to Hunting and Fishing"/>
        <s v="Blue Bloods"/>
        <s v="Masquerade"/>
        <s v="Wicked Lovely "/>
        <s v="The Big Short: Inside the Doomsday Machine"/>
        <s v="Moneyball: The Art of Winning an Unfair Game"/>
        <s v="The Blind Side: Evolution of a Game"/>
        <s v="Gone"/>
        <s v="The Black Echo"/>
        <s v="Timeline"/>
        <s v="Prey"/>
        <s v="Congo"/>
        <s v="Sphere"/>
        <s v="The Lost World"/>
        <s v="State of Fear"/>
        <s v="Disclosure"/>
        <s v="Airframe"/>
        <s v="The Hours"/>
        <s v="Die unendliche Geschichte"/>
        <s v="The English Patient"/>
        <s v="The Omnivore's Dilemma"/>
        <s v="In Defense of Food: An Eater's Manifesto"/>
        <s v="The Alchemyst: The Secrets of The Immortal Nicholas Flamel"/>
        <s v="The Killer Angels"/>
        <s v="The Unbecoming of Mara Dyer"/>
        <s v="Don Quijote de La Mancha"/>
        <s v="The Four Agreements: A Practical Guide to Personal Freedom, A Toltec Wisdom Book"/>
        <s v="ÃÅ“ÃÂ°Ã‘ÂÃ‘â€šÃÂµÃ‘â‚¬ ÃÂ¸ ÃÅ“ÃÂ°Ã‘â‚¬ÃÂ³ÃÂ°Ã‘â‚¬ÃÂ¸Ã‘â€šÃÂ°"/>
        <s v="Roll of Thunder, Hear My Cry"/>
        <s v="Why Not Me?"/>
        <s v="For One More Day"/>
        <s v="The Time Keeper"/>
        <s v="Have a Little Faith: A True Story"/>
        <s v="L'ÃƒÂ©lÃƒÂ©gance du hÃƒÂ©risson"/>
        <s v="Loving Frank"/>
        <s v="Think and Grow Rich"/>
        <s v="The Black Swan: The Impact of the Highly Improbable"/>
        <s v="Tuck Everlasting"/>
        <s v="In the Heart of the Sea: The Tragedy of the Whaleship Essex"/>
        <s v="Ã£Æ’â€¢Ã£Æ’Â«Ã£Æ’Â¼Ã£Æ’â€žÃ£Æ’ÂÃ£â€šÂ¹Ã£â€šÂ±Ã£Æ’Æ’Ã£Æ’Ë† 1"/>
        <s v="Unwind"/>
        <s v="Cryptonomicon"/>
        <s v="The Diamond Age"/>
        <s v="It's Kind of a Funny Story"/>
        <s v="Anansi Boys"/>
        <s v="The Sandman: Dream Country"/>
        <s v="Preludes &amp; Nocturnes"/>
        <s v="Long Walk to Freedom: The Autobiography of Nelson Mandela"/>
        <s v="The Rescue"/>
        <s v="The Guardian"/>
        <s v="Nights in Rodanthe"/>
        <s v="A Bend in the Road"/>
        <s v="The Wedding"/>
        <s v="The Choice"/>
        <s v="The Best of Me"/>
        <s v="The Longest Ride"/>
        <s v="True Believer"/>
        <s v="At First Sight"/>
        <s v="High Fidelity"/>
        <s v="About a Boy"/>
        <s v="A Long Way Down"/>
        <s v="Everything, Everything"/>
        <s v="The History of Love"/>
        <s v="Vision in White"/>
        <s v="The Power of Positive Thinking"/>
        <s v="The Phantom Tollbooth"/>
        <s v="The Gift of the Magi"/>
        <s v="Cold Sassy Tree"/>
        <s v="The Man Who Mistook His Wife for a Hat and Other Clinical Tales"/>
        <s v="Ender's Shadow"/>
        <s v="Xenocide"/>
        <s v="Children of the Mind"/>
        <s v="Chosen: A House of Night Novel"/>
        <s v="Hunted"/>
        <s v="Burned: A House of Night Novel"/>
        <s v="Tempted"/>
        <s v="Awakened"/>
        <s v="Are You My Mother?"/>
        <s v="Go, Dog. Go!"/>
        <s v="Death Comes to Pemberley"/>
        <s v="Mary Poppins"/>
        <s v="Moon Called"/>
        <s v="Cruel &amp; Unusual"/>
        <s v="The Knife of Never Letting Go"/>
        <s v=" A Monster Calls "/>
        <s v="The Slow Regard of Silent Things"/>
        <s v="Just Kids"/>
        <s v="When Breath Becomes Air"/>
        <s v="A Bruxa de Portobello"/>
        <s v="Na margem do rio Piedra eu sentei e chorei"/>
        <s v="Veronika decide morrer"/>
        <s v="Onze minutos"/>
        <s v="O Zahir"/>
        <s v="Amelia Bedelia"/>
        <s v="Jaws"/>
        <s v="The Last Unicorn"/>
        <s v="The Painted Man"/>
        <s v="The Man in the High Castle"/>
        <s v="His Dark Materials"/>
        <s v="The Constant Princess"/>
        <s v="The White Queen"/>
        <s v="The Queen's Fool"/>
        <s v="The Boleyn Inheritance"/>
        <s v="Red Rising"/>
        <s v="Golden Son"/>
        <s v="Orange Is the New Black: My Year in a Women's Prison"/>
        <s v="The Power of Six"/>
        <s v="ÃŽÂ ÃŽÂ¿ÃŽÂ»ÃŽÂ¹Ãâ€žÃŽÂµÃŽÂ¯ÃŽÂ±"/>
        <s v="Nick &amp; Norah's Infinite Playlist"/>
        <s v="Hex Hall"/>
        <s v="The Unlikely Pilgrimage of Harold Fry"/>
        <s v="Smile"/>
        <s v="Landline"/>
        <s v="Attachments"/>
        <s v="Invisible Man"/>
        <s v="What If?: Serious Scientific Answers to Absurd Hypothetical Questions"/>
        <s v="Hollow City"/>
        <s v="The Martian Chronicles"/>
        <s v="The Big Sleep"/>
        <s v="Magician"/>
        <s v="The Hot Zone: The Terrifying True Story of the Origins of the Ebola Virus"/>
        <s v="Jonathan Livingston Seagull"/>
        <s v="Thinner"/>
        <s v="The Long Walk"/>
        <s v="Don't Sweat the Small Stuff"/>
        <s v="The Selfish Gene"/>
        <s v="Surely You're Joking, Mr. Feynman! Adventures of a Curious Character"/>
        <s v="I Am Legend and Other Stories"/>
        <s v="Empire Falls"/>
        <s v="Native Son "/>
        <s v="Revolutionary Road"/>
        <s v="Last Sacrifice "/>
        <s v="Bloodlines"/>
        <s v="The Golden Lily"/>
        <s v="The House of Hades"/>
        <s v="The Throne of Fire"/>
        <s v="The Blood of Olympus"/>
        <s v="The Serpent's Shadow"/>
        <s v="The Infinite Sea"/>
        <s v="The Twits"/>
        <s v="Starship Troopers"/>
        <s v="The Moon is a Harsh Mistress"/>
        <s v="Mrs. Frisby and the Rats of NIMH"/>
        <s v="The Silkworm"/>
        <s v="Career of Evil"/>
        <s v="The Shadow Rising "/>
        <s v="The Fires of Heaven"/>
        <s v="A Crown of Swords"/>
        <s v="The Path of Daggers"/>
        <s v="Knife of Dreams"/>
        <s v="Crossroads of Twilight"/>
        <s v="The Gathering Storm"/>
        <s v="Towers of Midnight"/>
        <s v="A Memory of Light"/>
        <s v="Catherine the Great: Portrait of a Woman"/>
        <s v="The Walking Dead Compendium Volume 1"/>
        <s v="The Strange Case of Dr. Jekyll and Mr. Hyde and Other Tales of Terror "/>
        <s v="The Bourne Supremacy"/>
        <s v="Zen and the Art of Motorcycle Maintenance"/>
        <s v="Make Way for Ducklings"/>
        <s v="Love You Forever"/>
        <s v="Rich Dad , Poor Dad"/>
        <s v="Assassin's Apprentice"/>
        <s v="Royal Assassin"/>
        <s v="Assassin's Quest"/>
        <s v="The Monk Who Sold His Ferrari: A Fable About Fulfilling Your Dreams &amp; Reaching Your Destiny"/>
        <s v="Mr. Penumbra's 24-Hour Bookstore"/>
        <s v="A Fine Balance"/>
        <s v="A Scandal in Bohemia"/>
        <s v="The Shell Seekers"/>
        <s v="The Jungle Book"/>
        <s v="Between Shades of Gray"/>
        <s v="The Woman in Cabin 10"/>
        <s v="In a Dark, Dark Wood "/>
        <s v="Thoughtless"/>
        <s v="Effortless"/>
        <s v="An Ember in the Ashes"/>
        <s v="Midnight's Children"/>
        <s v="Guess How Much I Love You"/>
        <s v="On Dublin Street"/>
        <s v="En attendant Godot"/>
        <s v="The House on Mango Street"/>
        <s v="Pretty Little Liars"/>
        <s v="The Truth About Forever"/>
        <s v="This Lullaby"/>
        <s v="Along for the Ride"/>
        <s v="Lock and Key"/>
        <s v="Someone Like You"/>
        <s v="The Birth of Venus"/>
        <s v="Crown of Midnight"/>
        <s v="A Court of Thorns and Roses"/>
        <s v="Heir of Fire"/>
        <s v="Queen of Shadows"/>
        <s v="A Court of Mist and Fury"/>
        <s v="The Lies of Locke Lamora"/>
        <s v="Red Seas Under Red Skies"/>
        <s v="Understanding Comics: The Invisible Art"/>
        <s v="Presumed Innocent"/>
        <s v="Specials"/>
        <s v="Extras"/>
        <s v="The Perfect Storm: A True Story of Men Against the Sea"/>
        <s v="Abraham Lincoln: Vampire Hunter"/>
        <s v="Pride and Prejudice and Zombies"/>
        <s v="The Goose Girl"/>
        <s v="Princess Academy"/>
        <s v="Walk Two Moons"/>
        <s v="Out of My Mind"/>
        <s v="Falling Up"/>
        <s v="The Absolutely True Diary of a Part-Time Indian"/>
        <s v="Lean In: Women, Work, and the Will to Lead"/>
        <s v="The Surgeon of Crowthorne: a tale of murder, madness &amp; the love of words"/>
        <s v="Twelve Years a Slave"/>
        <s v="I've Got Your Number"/>
        <s v="Twenties Girl"/>
        <s v="Shopaholic and Baby"/>
        <s v="Shopaholic Abroad"/>
        <s v="Shopaholic Ties the Knot"/>
        <s v="Shopaholic and Sister"/>
        <s v="ÃŽÅ¸Ã¡Â¼Â°ÃŽÂ´ÃŽÂ¯Ãâ‚¬ÃŽÂ¿Ãâ€¦Ãâ€š ÃŽÂ¤ÃÂÃÂÃŽÂ±ÃŽÂ½ÃŽÂ½ÃŽÂ¿Ãâ€š"/>
        <s v="Ã¡Â¼Ë†ÃŽÂ½Ãâ€žÃŽÂ¹ÃŽÂ³ÃÅ’ÃŽÂ½ÃŽÂ·"/>
        <s v="Cleopatra: A Life"/>
        <s v="Lola and the Boy Next Door"/>
        <s v="I Am America (And So Can You!)"/>
        <s v="The Red Badge of Courage"/>
        <s v="Band of Brothers: E Company, 506th Regiment, 101st Airborne from Normandy to Hitler's Eagle's Nest"/>
        <s v="Needful Things"/>
        <s v="Cujo"/>
        <s v="Cell"/>
        <s v="The Drawing of the Three"/>
        <s v="Mr. Mercedes"/>
        <s v="The Dead Zone"/>
        <s v="Firestarter"/>
        <s v="On Writing: A Memoir of the Craft"/>
        <s v="Bag of Bones"/>
        <s v="Different Seasons"/>
        <s v="Doctor Sleep"/>
        <s v="Gerald's Game"/>
        <s v="Desperation"/>
        <s v="The Dark Tower"/>
        <s v="The Dark Half"/>
        <s v="The Girl Who Loved Tom Gordon"/>
        <s v="Skeleton Crew"/>
        <s v="The Tommyknockers"/>
        <s v="Joyland"/>
        <s v="Four Past Midnight"/>
        <s v="Eyes of the Dragon"/>
        <s v="The Mist"/>
        <s v="Revival"/>
        <s v="Duma Key"/>
        <s v="Rose Madder"/>
        <s v="Finders Keepers"/>
        <s v="Hearts in Atlantis"/>
        <s v="Full Dark, No Stars"/>
        <s v="Everything's Eventual: 14 Dark Tales"/>
        <s v="Wolves of the Calla"/>
        <s v="Insomnia"/>
        <s v="Song of Susannah"/>
        <s v="Wizard and Glass"/>
        <s v="Dolores Claiborne"/>
        <s v="'Salem's Lot The Illustrated Edition"/>
        <s v="Night Shift"/>
        <s v="Christine"/>
        <s v="The Waste Lands"/>
        <s v="The Talisman"/>
        <s v="Dreamcatcher"/>
        <s v="The Short Second Life of Bree Tanner"/>
        <s v="Midnight Sun (Partial Draft)"/>
        <s v="The Twilight Saga"/>
        <s v="Born Standing Up: A Comic's Life"/>
        <s v="SuperFreakonomics: Global Cooling, Patriotic Prostitutes, and Why Suicide Bombers Should Buy Life Insurance"/>
        <s v="Gardens of the Moon"/>
        <s v="A is for Alibi"/>
        <s v="The Mermaid Chair"/>
        <s v="Life As We Knew It"/>
        <s v="Angelfall"/>
        <s v="Jonathan Strange &amp; Mr Norrell"/>
        <s v="Girl, Interrupted"/>
        <s v="Brain on Fire"/>
        <s v="Gregor the Overlander"/>
        <s v="Gabriel's Inferno"/>
        <s v="Gabriel's Rapture"/>
        <s v="Entwined with You"/>
        <s v="A Beautiful Mind"/>
        <s v="The Once and Future King"/>
        <s v="The Tiger's Wife"/>
        <s v="Shatter Me (Shatter Me, #1)"/>
        <s v="Unravel Me (Shatter Me, #2)"/>
        <s v="Easy"/>
        <s v="Alanna: The First Adventure"/>
        <s v="The Likeness"/>
        <s v="Between the World and Me"/>
        <s v="The Glass Menagerie"/>
        <s v="Stone of Tears"/>
        <s v="Blood of the Fold"/>
        <s v="I Am Pilgrim"/>
        <s v="Mort"/>
        <s v="Guards! Guards!"/>
        <s v="Equal Rites"/>
        <s v="Going Postal"/>
        <s v="Night Watch"/>
        <s v="The Light Fantastic"/>
        <s v="Small Gods"/>
        <s v="The Surgeon"/>
        <s v="Far from the Madding Crowd"/>
        <s v="Tess of the d'Urbervilles: A Pure Woman Faithfully Presented"/>
        <s v="Schindler's Ark"/>
        <s v="The World Is Flat: A Brief History of the Twenty-first Century"/>
        <s v="The 4-Hour Workweek: Escape 9-5, Live Anywhere, and Join the New Rich"/>
        <s v="BLEACHÃ¢â‚¬â€¢Ã£Æ’â€“Ã£Æ’ÂªÃ£Æ’Â¼Ã£Æ’ÂÃ¢â‚¬â€¢Ã£â‚¬â‚¬1"/>
        <s v="Patriot Games"/>
        <s v="Clear and Present Danger"/>
        <s v="Still Life with Woodpecker"/>
        <s v="Jitterbug Perfume"/>
        <s v="Rosencrantz and Guildenstern are Dead"/>
        <s v="The Electric Kool-Aid Acid Test"/>
        <s v="The Bluest Eye"/>
        <s v="Emotional Intelligence 2.0"/>
        <s v="The Mysterious Benedict Society"/>
        <s v="Breakfast at Tiffany's"/>
        <s v="Ã£Æ’â€¡Ã£â€šÂ¹Ã£Æ’Å½Ã£Æ’Â¼Ã£Æ’Ë† #1 (Desu NÃ…Âto) Taikutsu (Ã©â‚¬â‚¬Ã¥Â±Ë†)"/>
        <s v="Beowulf"/>
        <s v="The Jungle"/>
        <s v="Stones from the River"/>
        <s v="A Wizard of Earthsea"/>
        <s v="The Farthest Shore"/>
        <s v="The Left Hand of Darkness"/>
        <s v="Flowers in the Attic"/>
        <s v="The Language of Flowers"/>
        <s v="Under the Never Sky"/>
        <s v="Four: A Divergent Collection"/>
        <s v="Free Four: Tobias Tells the Divergent Story"/>
        <s v="Notre-Dame de Paris"/>
        <s v="Red Queen"/>
        <s v="Helter Skelter: The True Story of The Manson Murders"/>
        <s v="Ãƒâ€ neis"/>
        <s v="To The Lighthouse "/>
        <s v="Mrs Dalloway"/>
        <s v="Candide"/>
        <s v="A Dog's Purpose "/>
        <s v="Einstein. His Life and Universe"/>
        <s v="Benjamin Franklin: An American Life"/>
        <s v="A Canticle for Leibowitz"/>
        <s v="The Little Engine That Could"/>
        <s v="Flipped"/>
        <s v="The Woman in White"/>
        <s v="My ÃƒÂntonia"/>
        <s v="The Sound and the Fury"/>
        <s v="As I Lay Dying"/>
        <s v="The Rise and Fall of the Third Reich: A History of Nazi Germany"/>
        <s v="Vanity Fair: A Novel Without a Hero"/>
        <s v="The Exorcist"/>
        <s v="The Naked Lunch"/>
        <s v="The Tragedie of King Lear"/>
        <s v="The Taming of the Shrew"/>
        <s v="The Tempest"/>
        <s v="Twelfth Night; or, What You Will"/>
        <s v="The Merchant of Venice"/>
        <s v="The Tragedy of Julius Caesar"/>
        <s v="Sophie's Choice"/>
        <s v="Ã©Â»â€™Ã¥Å¸Â·Ã¤Âºâ€¹ I [Kuroshitsuji I]"/>
        <s v="White Teeth"/>
      </sharedItems>
    </cacheField>
    <cacheField name="Author" numFmtId="0">
      <sharedItems count="722" longText="1">
        <s v="A.A. Milne, Ernest H. Shepard"/>
        <s v="A.S.A. Harrison"/>
        <s v="Ã˜Â£Ã˜Â­Ã™â€¦Ã˜Â¯ Ã™â€¦Ã˜Â±Ã˜Â§Ã˜Â¯"/>
        <s v="Ã˜Â£Ã˜Â­Ã™â€žÃ˜Â§Ã™â€¦ Ã™â€¦Ã˜Â³Ã˜ÂªÃ˜ÂºÃ˜Â§Ã™â€ Ã™â€¦Ã™Å , Ahlam Mosteghanemi"/>
        <s v="Abbi Glines"/>
        <s v="Adam Johnson"/>
        <s v="Adam Mansbach, Ricardo CortÃƒÂ©s"/>
        <s v="Aesop, Laura Harris, Laura Gibbs"/>
        <s v="Agatha Christie"/>
        <s v="Agatha Christie, ÃŽÂ¡ÃŽÂ¿ÃŽÂ¶ÃŽÂ¯Ãâ€žÃŽÂ± ÃŽÂ£ÃÅ½ÃŽÂºÃŽÂ¿Ãâ€¦"/>
        <s v="Alan Bradley"/>
        <s v="Alan Brennert"/>
        <s v="Alan Moore, Brian Bolland, Tim Sale"/>
        <s v="Albert Camus, Stuart Gilbert"/>
        <s v="Aldous Huxley, Christopher Hitchens"/>
        <s v="Aleksandr Solzhenitsyn, H.T. Willetts"/>
        <s v="Alex Flinn"/>
        <s v="Alex Garland"/>
        <s v="Alex Haley"/>
        <s v="Alexandra Bracken"/>
        <s v="Alice Clayton"/>
        <s v="Alice Sebold"/>
        <s v="Allen Ginsberg, William Carlos Williams"/>
        <s v="Ally Carter"/>
        <s v="Ally Condie"/>
        <s v="Amanda Hocking"/>
        <s v="Amish Tripathi"/>
        <s v="Amor Towles"/>
        <s v="Amy Tan"/>
        <s v="Andre Dubus III"/>
        <s v="Andrew Clements, Brian Selznick"/>
        <s v="Angie Sage"/>
        <s v="Anita Diamant"/>
        <s v="Anita Shreve"/>
        <s v="Ann Patchett"/>
        <s v="Anna Quindlen"/>
        <s v="Anne McCaffrey, Teodor PanasiÃ…â€žski"/>
        <s v="Anne Rice"/>
        <s v="Anne Tyler"/>
        <s v="Anne Tyler, Jennifer Bassett"/>
        <s v="Annie Proulx"/>
        <s v="Anonymous, Joseph Smith Jr."/>
        <s v="Anthony Bourdain"/>
        <s v="Aravind Adiga"/>
        <s v="Arnold Lobel"/>
        <s v="Art Spiegelman"/>
        <s v="Arthur C. Clarke"/>
        <s v="Arthur Conan Doyle"/>
        <s v="Arthur Conan Doyle, Anne Perry"/>
        <s v="Arthur Conan Doyle, Kyle Freeman"/>
        <s v="Arthur Miller"/>
        <s v="Astrid Lindgren, Lauren Child, Florence Lamborn, Nancy Seligsohn"/>
        <s v="Atul Gawande"/>
        <s v="Audrey Niffenegger"/>
        <s v="Augusten Burroughs"/>
        <s v="Austin Kleon"/>
        <s v="Ayaan Hirsi Ali"/>
        <s v="Ayn Rand"/>
        <s v="Azar Nafisi"/>
        <s v="Aziz Ansari, Eric Klinenberg"/>
        <s v="B.A. Paris"/>
        <s v="Barack Obama"/>
        <s v="Barbara Kingsolver"/>
        <s v="Barbara Kingsolver, Steven L. Hopp, Camille Kingsolver, Richard A. Houser"/>
        <s v="Beatrix Potter"/>
        <s v="Becca Fitzpatrick"/>
        <s v="Benjamin Alire SÃƒÂ¡enz"/>
        <s v="Benjamin Hoff, Ernest H. Shepard"/>
        <s v="Bernhard Schlink, Carol Brown Janeway"/>
        <s v="Beth Hoffman, Jenna Lamia"/>
        <s v="Beth Revis"/>
        <s v="Better Homes and Gardens"/>
        <s v="Beverly Cleary"/>
        <s v="Bill Bryson"/>
        <s v="Bill Martin Jr., Eric Carle"/>
        <s v="Bill Martin Jr., John Archambault, Lois Ehlert"/>
        <s v="Bill O'Reilly, Martin Dugard"/>
        <s v="Bill Watterson"/>
        <s v="Bill Watterson, G.B. Trudeau"/>
        <s v="Bill Willingham, Lan Medina, Steve Leialoha, Craig Hamilton, James Jean"/>
        <s v="Bisco Hatori"/>
        <s v="Blake Crouch"/>
        <s v="Boris Pasternak, Max Hayward, Manya Harari, John Bayley"/>
        <s v="Brandon Mull"/>
        <s v="Brandon Sanderson"/>
        <s v="Brent Weeks"/>
        <s v="Brian Greene"/>
        <s v="Brian Jacques"/>
        <s v="Brian K. Vaughan, Fiona Staples"/>
        <s v="Brian K. Vaughan, Pia Guerra, JosÃƒÂ© MarzÃƒÂ¡n Jr."/>
        <s v="Brian Selznick"/>
        <s v="Bruce H. Wilkinson"/>
        <s v="Bryan Lee O'Malley"/>
        <s v="Bryce Courtenay"/>
        <s v="C.S. Lewis"/>
        <s v="C.S. Lewis, Pauline Baynes"/>
        <s v="Caitlin Moran"/>
        <s v="Caleb Carr"/>
        <s v="Carl Hiaasen"/>
        <s v="Carl Sagan"/>
        <s v="Carlos Ruiz ZafÃƒÂ³n, Lucia Graves"/>
        <s v="Carol Rifka Brunt"/>
        <s v="Carson McCullers"/>
        <s v="Cassandra Clare"/>
        <s v="Catherine Hardwicke"/>
        <s v="Cecelia Ahern"/>
        <s v="Celeste Ng"/>
        <s v="Chad Harbach"/>
        <s v="Chaim Potok"/>
        <s v="Charlaine Harris"/>
        <s v="Charles Bukowski"/>
        <s v="Charles Darwin"/>
        <s v="Charles Dickens, Jeremy Tambling"/>
        <s v="Charles Dickens, Nicola Bradbury, Hablot Knight Browne"/>
        <s v="Charles Duhigg"/>
        <s v="Chelsea Handler"/>
        <s v="Chetan Bhagat"/>
        <s v="Chimamanda Ngozi Adichie"/>
        <s v="Chris Bohjalian"/>
        <s v="Chris Kyle, Scott McEwen, Jim DeFelice"/>
        <s v="Chris Van Allsburg"/>
        <s v="Christina Lauren"/>
        <s v="Christina Schwarz"/>
        <s v="Christopher Hitchens"/>
        <s v="Christopher McDougall"/>
        <s v="Christopher Moore"/>
        <s v="Christopher Paolini"/>
        <s v="Christopher Paul Curtis"/>
        <s v="Chuck Klosterman"/>
        <s v="Chuck Palahniuk"/>
        <s v="Colleen Hoover"/>
        <s v="Colm TÃƒÂ³ibÃƒÂ­n"/>
        <s v="Colson Whitehead"/>
        <s v="Colum McCann"/>
        <s v="Cora Carmack"/>
        <s v="Cormac McCarthy"/>
        <s v="Cornelia Funke, Anthea Bell"/>
        <s v="Craig Thompson"/>
        <s v="Crockett Johnson"/>
        <s v="Cynthia D'Aprix Sweeney"/>
        <s v="Cynthia Hand"/>
        <s v="Dalai Lama XIV, Howard C. Cutler"/>
        <s v="Dan Ariely"/>
        <s v="Dan Simmons"/>
        <s v="Daniel James Brown"/>
        <s v="Daniel Kahneman"/>
        <s v="Daniel Quinn"/>
        <s v="Dante Alighieri, Allen Mandelbaum, Eugenio Montale"/>
        <s v="Dante Alighieri, Anthony M. Esolen"/>
        <s v="Dashiell Hammett"/>
        <s v="Dave Eggers"/>
        <s v="David    Allen"/>
        <s v="David Baldacci"/>
        <s v="David Benioff"/>
        <s v="David Eddings"/>
        <s v="David Guterson"/>
        <s v="David Lagercrantz, Stieg Larsson, George Goulding"/>
        <s v="David Levithan"/>
        <s v="David McCullough"/>
        <s v="David Mitchell"/>
        <s v="David Sedaris"/>
        <s v="David Wroblewski"/>
        <s v="Dean Koontz"/>
        <s v="Deborah Harkness"/>
        <s v="Dennis Lehane"/>
        <s v="Diana Gabaldon"/>
        <s v="Diana Wynne Jones"/>
        <s v="Don DeLillo"/>
        <s v="Don Freeman"/>
        <s v="Don Piper, Cecil Murphey"/>
        <s v="Donald Miller"/>
        <s v="Doris Kearns Goodwin, Suzanne Toren"/>
        <s v="Douglas Adams"/>
        <s v="Douglas Preston, Lincoln Child"/>
        <s v="Dr. Seuss"/>
        <s v="E.B. White, Garth Williams"/>
        <s v="E.H. Gombrich"/>
        <s v="E.L. James"/>
        <s v="E.L. Konigsburg"/>
        <s v="E.M. Forster"/>
        <s v="Eckhart Tolle"/>
        <s v="Edith Wharton"/>
        <s v="Edith Wharton, Maureen Howard"/>
        <s v="Edith Wharton, Nina Bawden"/>
        <s v="EiichirÃ…Â Oda, Andy Nakatani"/>
        <s v="Elena Ferrante, Ann Goldstein"/>
        <s v="Elif Shafak, Ã˜Â¥Ã™â€žÃ™Å Ã™Â Ã˜Â´Ã˜Â§Ã™ÂÃ˜Â§Ã™â€š, Ã˜Â§Ã˜Â±Ã˜Â³Ã™â€žÃ˜Â§Ã™â€  Ã™ÂÃ˜ÂµÃ›Å’Ã˜Â­Ã›Å’, Ã™â€¦Ã˜Â­Ã™â€¦Ã˜Â¯ Ã˜Â¯Ã˜Â±Ã™Ë†Ã™Å Ã˜Â´"/>
        <s v="Elizabeth Gaskell, Alan Shelston"/>
        <s v="Elizabeth George Speare"/>
        <s v="Elizabeth Gilbert"/>
        <s v="Elizabeth Strout"/>
        <s v="Ellen DeGeneres"/>
        <s v="Ellen Hopkins"/>
        <s v="Ellen Raskin"/>
        <s v="Emily Dickinson, Thomas H. Johnson"/>
        <s v="Emily Giffin"/>
        <s v="Emma Cline"/>
        <s v="Emmuska Orczy"/>
        <s v="Eoin Colfer"/>
        <s v="Eowyn Ivey"/>
        <s v="Eric Ries"/>
        <s v="Erik Larson"/>
        <s v="Ernest Hemingway"/>
        <s v="Esphyr Slobodkina"/>
        <s v="Evelyn Waugh"/>
        <s v="Ezra Jack Keats"/>
        <s v="F. Scott Fitzgerald"/>
        <s v="Faye Perozich, Anne Rice, John Bolton, Daerick GrÃƒÂ¶ss"/>
        <s v="Flora Rheta Schreiber"/>
        <s v="Frances Hodgson Burnett, Nancy Bond"/>
        <s v="Francis Chan, Danae Yankoski, Chris Tomlin"/>
        <s v="Frank E. Peretti"/>
        <s v="Frank Herbert"/>
        <s v="Frank Miller, David Mazzucchelli, Richmond Lewis, Dennis O'Neil"/>
        <s v="Frank Miller, Klaus Janson, Lynn Varley"/>
        <s v="Frank Warren"/>
        <s v="Franz Kafka, Edwin Muir, Willa Muir, Max Brod"/>
        <s v="Fred Gipson"/>
        <s v="Frederick Forsyth"/>
        <s v="Friedrich Nietzsche, Walter Kaufmann"/>
        <s v="Fyodor Dostoyevsky, Andrew R. MacAndrew, Ben Marcus"/>
        <s v="Fyodor Dostoyevsky, Constance Garnett, Alan Myers, Joseph Frank, Anna Brailovsky"/>
        <s v="Gabriel GarcÃƒÂ­a MÃƒÂ¡rquez, Gregory Rabassa"/>
        <s v="Gabrielle Zevin"/>
        <s v="Garth Nix"/>
        <s v="Gaston Leroux, Alexander Teixeira de Mattos"/>
        <s v="Geoffrey Chaucer, Nevill Coghill"/>
        <s v="George Bernard Shaw"/>
        <s v="George Eliot, Michel Faber"/>
        <s v="George Orwell, Christopher Hitchens"/>
        <s v="George R.R. Martin"/>
        <s v="Geraldine Brooks"/>
        <s v="Gertrude Chandler Warner, L. Kate Deal"/>
        <s v="Graeme Simsion"/>
        <s v="Gregory David Roberts"/>
        <s v="Gretchen Rubin"/>
        <s v="Guillermo del Toro, Chuck Hogan"/>
        <s v="Gustave Flaubert, Margaret Mauldon, Malcolm Bowie, Mark Overstall"/>
        <s v="H.A. Rey"/>
        <s v="H.G. Wells"/>
        <s v="H.G. Wells, Arthur C. Clarke"/>
        <s v="Hajime Isayama, Sheldon Drzka"/>
        <s v="Hans Christian Andersen, Lily Owens, Arthur Rackham, Hans Richter"/>
        <s v="Hanya Yanagihara"/>
        <s v="Harlan Coben"/>
        <s v="Harper Lee"/>
        <s v="Harriet Beecher Stowe"/>
        <s v="Harry Allard, James  Marshall"/>
        <s v="Haruki Murakami, Alfred Birnbaum"/>
        <s v="Haruki Murakami, Jay Rubin"/>
        <s v="Haruki Murakami, Jay Rubin, Philip Gabriel"/>
        <s v="Haruki Murakami, Philip Gabriel"/>
        <s v="Helen Fielding"/>
        <s v="Helen Keller"/>
        <s v="Helen Simonson"/>
        <s v="Helene Wecker"/>
        <s v="Henrik Ibsen, Michael   Meyer"/>
        <s v="Henry David Thoreau"/>
        <s v="Herman Koch, Sam Garrett"/>
        <s v="Hermann Hesse, Basil Creighton"/>
        <s v="Hilary Mantel"/>
        <s v="Hiro Mashima, William Flanagan"/>
        <s v="Hiromu Arakawa, Akira Watanabe"/>
        <s v="Howard Zinn"/>
        <s v="Hugh Howey"/>
        <s v="Huntley Fitzpatrick"/>
        <s v="Ira Levin"/>
        <s v="Irma S. Rombauer, Marion Rombauer Becker, Ethan Becker"/>
        <s v="Irvine Welsh, Eric Lindor Fall"/>
        <s v="Irving Stone, Ã—Â©Ã—Å¾Ã—â€¢Ã—ÂÃ—Å“ Ã—Â©Ã—Â Ã—â„¢Ã—Â¦Ã—Â¨"/>
        <s v="Isaac Asimov"/>
        <s v="Isaac Marion"/>
        <s v="Isabel Allende, Magda Bogin"/>
        <s v="Isabel Allende, Margaret Sayers Peden"/>
        <s v="Ishmael Beah"/>
        <s v="J. Lynn, Jennifer L. Armentrout"/>
        <s v="J.A. Redmerski"/>
        <s v="J.D. Robb"/>
        <s v="J.D. Salinger"/>
        <s v="J.D. Vance"/>
        <s v="J.M. Coetzee"/>
        <s v="J.R. Ward"/>
        <s v="J.R.R. Tolkien"/>
        <s v="J.R.R. Tolkien, Christopher Tolkien, Ted Nasmith"/>
        <s v="Jack Kerouac"/>
        <s v="Jack London"/>
        <s v="Jacob Grimm, Wilhelm Grimm, Josef Scharl, Padraic Colum, Joseph Campbell, Margaret Raine Hunt, James Stern"/>
        <s v="Jacquelyn Mitchard"/>
        <s v="James A. Michener"/>
        <s v="James C. Collins"/>
        <s v="James Clavell"/>
        <s v="James Dashner"/>
        <s v="James Ellroy"/>
        <s v="James Fenimore Cooper"/>
        <s v="James Herriot"/>
        <s v="James Joyce"/>
        <s v="James Joyce, Jeri Johnson"/>
        <s v="James Joyce, Seamus Deane"/>
        <s v="James McBride"/>
        <s v="James Patterson"/>
        <s v="James Patterson, Andrew Gross"/>
        <s v="James Patterson, Peter de Jonge"/>
        <s v="James Redfield"/>
        <s v="James S.A. Corey"/>
        <s v="Jamie McGuire"/>
        <s v="Jandy Nelson"/>
        <s v="Jane Green"/>
        <s v="Jane Hamilton, Frank  Muller, C.J. Critt"/>
        <s v="Janell Cannon"/>
        <s v="Janet Evanovich"/>
        <s v="Janet Evanovich, Lorelei King"/>
        <s v="Jason Fried, David Heinemeier Hansson"/>
        <s v="Jasper Fforde"/>
        <s v="Jay Anson"/>
        <s v="Jaycee Dugard"/>
        <s v="Jeaniene Frost"/>
        <s v="Jeannette Walls"/>
        <s v="Jeff Kinney"/>
        <s v="Jeff Smith, Steve Hamaker"/>
        <s v="Jeffery Deaver"/>
        <s v="Jeffrey Archer"/>
        <s v="Jeffrey Eugenides"/>
        <s v="Jenna Blum"/>
        <s v="Jennifer Crusie"/>
        <s v="Jennifer E. Smith"/>
        <s v="Jennifer Egan"/>
        <s v="Jennifer L. Armentrout"/>
        <s v="Jennifer Niven, Ã™ÂÃ˜Â±Ã˜Â§Ã™â€ ÃšÂ© Ã™â€¦Ã˜Â¹Ã™â€ Ã™Ë†Ã›Å’"/>
        <s v="Jennifer Probst"/>
        <s v="Jennifer Weiner"/>
        <s v="Jenny  Lawson"/>
        <s v="Jenny Han"/>
        <s v="Jerry Spinelli"/>
        <s v="Jess Walter"/>
        <s v="Jesse Andrews"/>
        <s v="Jessica Knoll"/>
        <s v="Jessica Sorensen"/>
        <s v="Jessie Burton"/>
        <s v="Jhumpa Lahiri"/>
        <s v="Jim Butcher"/>
        <s v="Jim Fergus"/>
        <s v="Joan Didion"/>
        <s v="Joanne Harris"/>
        <s v="Jodi Ellen Malpas"/>
        <s v="Jodi Picoult"/>
        <s v="Joe Abercrombie"/>
        <s v="Joe Haldeman"/>
        <s v="Joe Hill"/>
        <s v="Johann David Wyss, Scott McKowen, Arthur Pober"/>
        <s v="Johanna Spyri, Angelo  Rinaldi, Beverly Cleary"/>
        <s v="John Berendt"/>
        <s v="John D. Rateliff, J.R.R. Tolkien"/>
        <s v="John Flanagan"/>
        <s v="John Gray"/>
        <s v="John Green, Maureen Johnson, Lauren Myracle"/>
        <s v="John Grisham"/>
        <s v="John Irving"/>
        <s v="John Knowles"/>
        <s v="John Milton, John      Leonard"/>
        <s v="John Scalzi"/>
        <s v="John Steinbeck"/>
        <s v="Jojo Moyes"/>
        <s v="Jon Krakauer"/>
        <s v="Jon Ronson"/>
        <s v="Jon Scieszka, Lane Smith"/>
        <s v="Jon Stewart, Ben Karlin, David Javerbaum, Rich Bloomquist, Steve Bodow, Tim Carvell, Eric Drysdale, J.R. Havlan, Scott Jacobson, Tom Johnson, Rob Kutner, Chris Regan, Jason Reich, Jason Ross, Stephen Colbert, Samantha Bee, Rob Corddry, Brendan Hay, Ed Helms"/>
        <s v="Jon Stone, Michael J. Smollin"/>
        <s v="Jonas Jonasson, Rod Bradbury"/>
        <s v="Jonathan Franzen"/>
        <s v="Jonathan Safran Foer"/>
        <s v="Jonathan Stroud"/>
        <s v="Jonathan Tropper"/>
        <s v="JosÃƒÂ© Saramago, Giovanni Pontiero"/>
        <s v="Jostein Gaarder, Paulette MÃƒÂ¸ller"/>
        <s v="Joyce Carol Oates"/>
        <s v="Judi Barrett, Ron Barrett"/>
        <s v="Judith Viorst, Ray Cruz"/>
        <s v="Judy Blume"/>
        <s v="Jules Verne"/>
        <s v="Jules Verne, Anthony Bonner"/>
        <s v="Jules Verne, Michael Glencross, Brian W. Aldiss"/>
        <s v="Julia Cameron"/>
        <s v="Julia Child, Alex Prud'Homme"/>
        <s v="Julian Barnes"/>
        <s v="Julie Kagawa"/>
        <s v="Julie Powell"/>
        <s v="Jung Chang"/>
        <s v="Junot DÃƒÂ­az"/>
        <s v="Justin Cronin"/>
        <s v="Justin Halpern"/>
        <s v="Kami Garcia, Margaret Stohl"/>
        <s v="Kami Garcia, Margaret Stohl, Paz Pruneda"/>
        <s v="Karen Joy Fowler"/>
        <s v="Karen Marie Moning"/>
        <s v="Karen Thompson Walker"/>
        <s v="Karin Slaughter"/>
        <s v="Karl Marx, Friedrich Engels, Gareth Stedman Jones"/>
        <s v="Kate Atkinson"/>
        <s v="Kate Chopin"/>
        <s v="Kate DiCamillo, Chris Sheban"/>
        <s v="Kate DiCamillo, Timothy Basil Ering"/>
        <s v="Kate Morton"/>
        <s v="Katherine Applegate, Patricia Castelao"/>
        <s v="Katherine Boo"/>
        <s v="Kathy Reichs"/>
        <s v="Katie McGarry"/>
        <s v="Kazuo Ishiguro"/>
        <s v="Keith Richards"/>
        <s v="Kelley Armstrong"/>
        <s v="Ken Follett"/>
        <s v="Kenneth Grahame, Gillian Avery"/>
        <s v="Kenneth H. Blanchard, Spencer Johnson"/>
        <s v="Kennilworthy Whisp, J.K. Rowling"/>
        <s v="Kiera Cass"/>
        <s v="Kim Harrison"/>
        <s v="Kimberly McCreight"/>
        <s v="Kody Keplinger"/>
        <s v="Kristin Cashore"/>
        <s v="Kristin Hannah"/>
        <s v="Kurt Vonnegut Jr."/>
        <s v="L.M. Montgomery"/>
        <s v="Laini Taylor"/>
        <s v="Lao Tzu, Gia-Fu Feng, Jane English, Chungliang Al Huang, Rowena Pattee Kryder, Toinette Lippe"/>
        <s v="Larry McMurtry"/>
        <s v="Larry Niven"/>
        <s v="Laura Hillenbrand"/>
        <s v="Laura Ingalls Wilder, Garth Williams"/>
        <s v="Laurell K. Hamilton"/>
        <s v="Lauren DeStefano"/>
        <s v="Lauren Groff"/>
        <s v="Lauren Kate"/>
        <s v="Lauren Oliver"/>
        <s v="Lauren Weisberger"/>
        <s v="Laurie Halse Anderson"/>
        <s v="Lee Child"/>
        <s v="Lee Strobel"/>
        <s v="Leigh Bardugo"/>
        <s v="Lemony Snicket, Brett Helquist"/>
        <s v="Lena Dunham, Joana Avillez"/>
        <s v="Leon Uris"/>
        <s v="Lev Grossman"/>
        <s v="Lewis Carroll, John Tenniel, Peter Glassman"/>
        <s v="Liane Moriarty"/>
        <s v="Libba Bray"/>
        <s v="Lionel Shriver"/>
        <s v="Lisa See"/>
        <s v="Lois Lowry"/>
        <s v="Louis de BerniÃƒÂ¨res"/>
        <s v="Louise Erdrich"/>
        <s v="Louise Rennison"/>
        <s v="Ludwig Bemelmans"/>
        <s v="Lynne Reid Banks"/>
        <s v="Lynne Truss"/>
        <s v="M. Scott Peck"/>
        <s v="M.R. Carey"/>
        <s v="Madeleine L'Engle"/>
        <s v="Maggie Stiefvater"/>
        <s v="Malcolm Gladwell"/>
        <s v="Malcolm X, Alex Haley"/>
        <s v="Marcus Luttrell, Patrick Robinson"/>
        <s v="Margaret Atwood"/>
        <s v="Margaret Peterson Haddix"/>
        <s v="Margaret Weis, Tracy Hickman"/>
        <s v="Margery Williams Bianco, William   Nicholson"/>
        <s v="Maria V. Snyder"/>
        <s v="Marie KondÃ…Â, Cathy Hirano"/>
        <s v="Marie Lu"/>
        <s v="Marion Zimmer Bradley"/>
        <s v="Marissa Meyer"/>
        <s v="Marjane Satrapi, Mattias Ripa"/>
        <s v="Marjane Satrapi, Mattias Ripa, Blake Ferris, Anjali Singh"/>
        <s v="Mark Cotta Vaz"/>
        <s v="Mark Twain, Everett H. Emerson"/>
        <s v="Mark Z. Danielewski"/>
        <s v="Markus Zusak"/>
        <s v="Mary Kubica"/>
        <s v="Mary Norton, Beth Krush, Joe Krush"/>
        <s v="Mary Roach"/>
        <s v="Masashi Kishimoto, Katy Bridges"/>
        <s v="Matsuri Hino, Tomo Kimura"/>
        <s v="Matthew Quick"/>
        <s v="Max Brooks"/>
        <s v="Meg Wolitzer"/>
        <s v="Melissa Bank"/>
        <s v="Melissa de la Cruz"/>
        <s v="Melissa Marr"/>
        <s v="Michael   Lewis"/>
        <s v="Michael  Grant"/>
        <s v="Michael Connelly"/>
        <s v="Michael Crichton"/>
        <s v="Michael Cunningham"/>
        <s v="Michael Ende, Ralph Manheim, Roswitha Quadflieg"/>
        <s v="Michael Ondaatje"/>
        <s v="Michael Pollan"/>
        <s v="Michael Scott"/>
        <s v="Michael Shaara"/>
        <s v="Michelle Hodkin"/>
        <s v="Miguel de Cervantes Saavedra, Roberto GonzÃƒÂ¡lez EchevarrÃƒÂ­a, John Rutherford"/>
        <s v="Miguel Ruiz"/>
        <s v="Mikhail Bulgakov, Katherine Tiernan O'Connor, Diana Burgin, Ellendea Proffer"/>
        <s v="Mildred D. Taylor"/>
        <s v="Mindy Kaling"/>
        <s v="Mitch Albom"/>
        <s v="Muriel Barbery, Alison Anderson"/>
        <s v="Nancy Horan"/>
        <s v="Napoleon Hill"/>
        <s v="Nassim Nicholas Taleb"/>
        <s v="Natalie Babbitt"/>
        <s v="Nathaniel Philbrick"/>
        <s v="Natsuki Takaya, Alethea Nibley, Athena Nibley"/>
        <s v="Neal Shusterman"/>
        <s v="Neal Stephenson"/>
        <s v="Ned Vizzini"/>
        <s v="Neil Gaiman"/>
        <s v="Neil Gaiman, Kelley Jones, Charles Vess, Colleen Doran, Malcolm Jones III, Steve Erickson"/>
        <s v="Neil Gaiman, Sam Kieth, Mike Dringenberg, Malcolm Jones III, Todd Klein, Karen  Berger"/>
        <s v="Nelson Mandela"/>
        <s v="Nicholas Sparks"/>
        <s v="Nick Hornby"/>
        <s v="Nicola Yoon, David Yoon"/>
        <s v="Nicole Krauss"/>
        <s v="Nora Roberts"/>
        <s v="Norman Vincent Peale"/>
        <s v="Norton Juster, Jules Feiffer"/>
        <s v="O. Henry, Lisbeth Zwerger"/>
        <s v="Olive Ann Burns"/>
        <s v="Oliver Sacks"/>
        <s v="Orson Scott Card"/>
        <s v="P.C. Cast, Kristin Cast"/>
        <s v="P.D. Eastman"/>
        <s v="P.D. James"/>
        <s v="P.L. Travers, Mary Shepard"/>
        <s v="Patricia Briggs"/>
        <s v="Patricia Cornwell"/>
        <s v="Patrick Ness"/>
        <s v="Patrick Ness, Jim Kay, Siobhan Dowd"/>
        <s v="Patrick Rothfuss, Nate  Taylor"/>
        <s v="Patti Smith"/>
        <s v="Paul Kalanithi, Abraham Verghese"/>
        <s v="Paulo Coelho"/>
        <s v="Paulo Coelho, Alan R. Clarke"/>
        <s v="Paulo Coelho, Margaret Jull Costa"/>
        <s v="Peggy Parish, Fritz Siebel"/>
        <s v="Peter Benchley"/>
        <s v="Peter S. Beagle"/>
        <s v="Peter V. Brett"/>
        <s v="Philip K. Dick"/>
        <s v="Philip Pullman"/>
        <s v="Philippa Gregory"/>
        <s v="Pierce Brown"/>
        <s v="Piper Kerman"/>
        <s v="Pittacus Lore"/>
        <s v="Plato, Desmond Lee"/>
        <s v="Rachel Cohn, David Levithan"/>
        <s v="Rachel Hawkins"/>
        <s v="Rachel Joyce"/>
        <s v="Raina Telgemeier"/>
        <s v="Rainbow Rowell"/>
        <s v="Ralph Ellison"/>
        <s v="Randall Munroe"/>
        <s v="Ransom Riggs"/>
        <s v="Ray Bradbury"/>
        <s v="Raymond Chandler"/>
        <s v="Raymond E. Feist"/>
        <s v="Richard   Preston"/>
        <s v="Richard Bach, Russell Munson"/>
        <s v="Richard Bachman, Stephen King"/>
        <s v="Richard Carlson"/>
        <s v="Richard Dawkins"/>
        <s v="Richard Feynman"/>
        <s v="Richard Matheson"/>
        <s v="Richard Russo"/>
        <s v="Richard Wright"/>
        <s v="Richard Yates"/>
        <s v="Richelle Mead"/>
        <s v="Rick Riordan"/>
        <s v="Rick Yancey"/>
        <s v="Roald Dahl, Quentin Blake"/>
        <s v="Robert A. Heinlein"/>
        <s v="Robert C. O'Brien"/>
        <s v="Robert Galbraith, J.K. Rowling"/>
        <s v="Robert Jordan"/>
        <s v="Robert Jordan, Brandon Sanderson"/>
        <s v="Robert K. Massie"/>
        <s v="Robert Kirkman"/>
        <s v="Robert Louis Stevenson, Robert Mighall"/>
        <s v="Robert Ludlum"/>
        <s v="Robert M. Pirsig"/>
        <s v="Robert McCloskey"/>
        <s v="Robert Munsch, Sheila McGraw"/>
        <s v="Robert T. Kiyosaki"/>
        <s v="Robin Hobb"/>
        <s v="Robin S. Sharma"/>
        <s v="Robin Sloan"/>
        <s v="Rohinton Mistry"/>
        <s v="Ronald Holt, Arthur Conan Doyle"/>
        <s v="Rosamunde Pilcher"/>
        <s v="Rudyard Kipling"/>
        <s v="Ruta Sepetys"/>
        <s v="Ruth Ware"/>
        <s v="S.C. Stephens"/>
        <s v="Sabaa Tahir"/>
        <s v="Salman Rushdie"/>
        <s v="Sam McBratney, Anita Jeram"/>
        <s v="Samantha Young"/>
        <s v="Samuel Beckett"/>
        <s v="Sandra Cisneros"/>
        <s v="Sara Shepard"/>
        <s v="Sarah Dessen"/>
        <s v="Sarah Dunant"/>
        <s v="Sarah J. Maas"/>
        <s v="Scott Lynch"/>
        <s v="Scott McCloud"/>
        <s v="Scott Turow"/>
        <s v="Scott Westerfeld"/>
        <s v="Sebastian Junger"/>
        <s v="Seth Grahame-Smith"/>
        <s v="Seth Grahame-Smith, Jane Austen"/>
        <s v="Shannon Hale"/>
        <s v="Sharon Creech"/>
        <s v="Sharon M. Draper"/>
        <s v="Shel Silverstein"/>
        <s v="Sherman Alexie, Ellen Forney"/>
        <s v="Sheryl Sandberg, Nell Scovell"/>
        <s v="Simon Winchester"/>
        <s v="Solomon Northup"/>
        <s v="Sophie Kinsella"/>
        <s v="Sophocles, J.E. Thomas"/>
        <s v="Stacy Schiff"/>
        <s v="Stephanie Perkins"/>
        <s v="Stephen Colbert, Richard Dahm, Paul Dinello, Allison Silverman, Michael Brumm, Eric Drydale, Rob Dubbin, Glenn Eichler, Peter Grosz, Peter Gwinn, Jay Katsir, Laura Krafft, Frank Lesser, Tom Purcell"/>
        <s v="Stephen Crane"/>
        <s v="Stephen E. Ambrose"/>
        <s v="Stephen King"/>
        <s v="Stephen King, Bernie Wrightson"/>
        <s v="Stephen King, Bettina Blanch Tyroller"/>
        <s v="Stephen King, Darrel Anderson"/>
        <s v="Stephen King, Dave McKean"/>
        <s v="Stephen King, Dominique Dill"/>
        <s v="Stephen King, Jerry N. Uelsmann"/>
        <s v="Stephen King, John D. MacDonald"/>
        <s v="Stephen King, Marie Milpois"/>
        <s v="Stephen King, Ned Dameron"/>
        <s v="Stephen King, Peter Straub"/>
        <s v="Stephen King, William Olivier Desmond"/>
        <s v="Stephenie Meyer"/>
        <s v="Stephenie Meyer, Ilyana Kadushin, Matt Walters"/>
        <s v="Steve Martin"/>
        <s v="Steven D. Levitt, Stephen J. Dubner"/>
        <s v="Steven Erikson"/>
        <s v="Sue Grafton"/>
        <s v="Sue Monk Kidd"/>
        <s v="Susan Beth Pfeffer"/>
        <s v="Susan Ee"/>
        <s v="Susanna Clarke"/>
        <s v="Susanna Kaysen"/>
        <s v="Susannah Cahalan"/>
        <s v="Suzanne Collins"/>
        <s v="Sylvain Reynard"/>
        <s v="Sylvia Day"/>
        <s v="Sylvia Nasar"/>
        <s v="T.H. White"/>
        <s v="TÃƒÂ©a Obreht"/>
        <s v="Tahereh Mafi"/>
        <s v="Tammara Webber"/>
        <s v="Tamora Pierce"/>
        <s v="Tana French"/>
        <s v="Ta-Nehisi Coates"/>
        <s v="Tennessee Williams"/>
        <s v="Terry Goodkind"/>
        <s v="Terry Hayes"/>
        <s v="Terry Pratchett"/>
        <s v="Tess Gerritsen"/>
        <s v="Thomas Hardy, Rosemarie Morgan, Shannon Russell"/>
        <s v="Thomas Hardy, Tim Dolin, Margaret R. Higonnet"/>
        <s v="Thomas Keneally"/>
        <s v="Thomas L. Friedman"/>
        <s v="Timothy Ferriss"/>
        <s v="Tite Kubo"/>
        <s v="Tom Clancy"/>
        <s v="Tom Robbins"/>
        <s v="Tom Stoppard, Henry Popkin"/>
        <s v="Tom Wolfe"/>
        <s v="Toni Morrison"/>
        <s v="Travis Bradberry, Jean Greaves, Patrick Lencioni"/>
        <s v="Trenton Lee Stewart, Carson Ellis"/>
        <s v="Truman Capote"/>
        <s v="Tsugumi Ohba, Takeshi Obata"/>
        <s v="Unknown, Seamus Heaney"/>
        <s v="Upton Sinclair, Earl Lee, Kathleen DeGrave"/>
        <s v="Ursula Hegi"/>
        <s v="Ursula K. Le Guin"/>
        <s v="Ursula K. Le Guin, Lech JÃ„â„¢czmyk"/>
        <s v="V.C. Andrews"/>
        <s v="Vanessa Diffenbaugh"/>
        <s v="Veronica Rossi"/>
        <s v="Veronica Roth"/>
        <s v="Victor Hugo, Walter J. Cobb"/>
        <s v="Victoria Aveyard"/>
        <s v="Vincent Bugliosi, Curt Gentry"/>
        <s v="Virgil, Robert Fitzgerald"/>
        <s v="Virginia Woolf"/>
        <s v="Virginia Woolf, Maureen Howard"/>
        <s v="Voltaire"/>
        <s v="W. Bruce Cameron"/>
        <s v="Walter Isaacson"/>
        <s v="Walter M. Miller Jr."/>
        <s v="Watty Piper, Doris Hauman, George Hauman"/>
        <s v="Wendelin Van Draanen"/>
        <s v="Wilkie Collins, Matthew Sweet"/>
        <s v="Willa Cather"/>
        <s v="William Faulkner"/>
        <s v="William L. Shirer"/>
        <s v="William Makepeace Thackeray, John Carey"/>
        <s v="William Peter Blatty"/>
        <s v="William S. Burroughs, James Grauerholz, Barry  Miles"/>
        <s v="William Shakespeare"/>
        <s v="William Shakespeare, Robert          Jackson, Barbara A. Mowat, Paul Werstine"/>
        <s v="William Shakespeare, Roma Gill"/>
        <s v="William Styron"/>
        <s v="Yana Toboso, Tomo Kimura"/>
        <s v="Zadie Smith"/>
      </sharedItems>
    </cacheField>
    <cacheField name="language_code" numFmtId="0">
      <sharedItems containsBlank="1"/>
    </cacheField>
    <cacheField name="Author_Rating" numFmtId="0">
      <sharedItems count="4">
        <s v="Excellent"/>
        <s v="Novice"/>
        <s v="Intermediate"/>
        <s v="Famous"/>
      </sharedItems>
    </cacheField>
    <cacheField name="Book_average_rating" numFmtId="0">
      <sharedItems containsSemiMixedTypes="0" containsString="0" containsNumber="1" minValue="2.97" maxValue="4.7699999999999996"/>
    </cacheField>
    <cacheField name="Book_ratings_count" numFmtId="0">
      <sharedItems containsSemiMixedTypes="0" containsString="0" containsNumber="1" containsInteger="1" minValue="27308" maxValue="206792" count="1041">
        <n v="69102"/>
        <n v="60323"/>
        <n v="53187"/>
        <n v="42958"/>
        <n v="138871"/>
        <n v="97616"/>
        <n v="52765"/>
        <n v="71816"/>
        <n v="88508"/>
        <n v="138444"/>
        <n v="93963"/>
        <n v="71354"/>
        <n v="135514"/>
        <n v="99841"/>
        <n v="75307"/>
        <n v="113855"/>
        <n v="95803"/>
        <n v="108124"/>
        <n v="61678"/>
        <n v="150003"/>
        <n v="52333"/>
        <n v="118951"/>
        <n v="83886"/>
        <n v="134805"/>
        <n v="77462"/>
        <n v="71968"/>
        <n v="150222"/>
        <n v="75834"/>
        <n v="100886"/>
        <n v="109290"/>
        <n v="45319"/>
        <n v="62784"/>
        <n v="50158"/>
        <n v="75541"/>
        <n v="99926"/>
        <n v="55381"/>
        <n v="83351"/>
        <n v="86805"/>
        <n v="51603"/>
        <n v="71777"/>
        <n v="124837"/>
        <n v="67753"/>
        <n v="95378"/>
        <n v="141299"/>
        <n v="110693"/>
        <n v="79824"/>
        <n v="67267"/>
        <n v="42339"/>
        <n v="80075"/>
        <n v="103151"/>
        <n v="63530"/>
        <n v="134177"/>
        <n v="114531"/>
        <n v="70119"/>
        <n v="90147"/>
        <n v="76785"/>
        <n v="93151"/>
        <n v="87141"/>
        <n v="109754"/>
        <n v="56918"/>
        <n v="154517"/>
        <n v="66857"/>
        <n v="132061"/>
        <n v="123065"/>
        <n v="56510"/>
        <n v="63737"/>
        <n v="70550"/>
        <n v="93625"/>
        <n v="58432"/>
        <n v="95620"/>
        <n v="94696"/>
        <n v="94231"/>
        <n v="57865"/>
        <n v="128961"/>
        <n v="110873"/>
        <n v="105032"/>
        <n v="78529"/>
        <n v="57078"/>
        <n v="83881"/>
        <n v="162373"/>
        <n v="190722"/>
        <n v="107569"/>
        <n v="108884"/>
        <n v="69975"/>
        <n v="119911"/>
        <n v="54341"/>
        <n v="94176"/>
        <n v="93640"/>
        <n v="75987"/>
        <n v="66947"/>
        <n v="58688"/>
        <n v="125668"/>
        <n v="105192"/>
        <n v="71868"/>
        <n v="93001"/>
        <n v="117788"/>
        <n v="101016"/>
        <n v="113881"/>
        <n v="34789"/>
        <n v="59973"/>
        <n v="99390"/>
        <n v="65638"/>
        <n v="144822"/>
        <n v="143622"/>
        <n v="73572"/>
        <n v="76261"/>
        <n v="95950"/>
        <n v="72185"/>
        <n v="109236"/>
        <n v="66390"/>
        <n v="58906"/>
        <n v="32626"/>
        <n v="73918"/>
        <n v="131906"/>
        <n v="81326"/>
        <n v="132159"/>
        <n v="57468"/>
        <n v="126864"/>
        <n v="57312"/>
        <n v="189671"/>
        <n v="158701"/>
        <n v="75031"/>
        <n v="170453"/>
        <n v="70446"/>
        <n v="96981"/>
        <n v="75275"/>
        <n v="90917"/>
        <n v="76440"/>
        <n v="46225"/>
        <n v="85582"/>
        <n v="67643"/>
        <n v="177796"/>
        <n v="88847"/>
        <n v="55236"/>
        <n v="108703"/>
        <n v="81712"/>
        <n v="70701"/>
        <n v="199572"/>
        <n v="181323"/>
        <n v="162689"/>
        <n v="169560"/>
        <n v="163054"/>
        <n v="151095"/>
        <n v="145157"/>
        <n v="127379"/>
        <n v="87066"/>
        <n v="65932"/>
        <n v="59295"/>
        <n v="54140"/>
        <n v="64162"/>
        <n v="150512"/>
        <n v="67433"/>
        <n v="155977"/>
        <n v="127096"/>
        <n v="83607"/>
        <n v="55355"/>
        <n v="67438"/>
        <n v="67866"/>
        <n v="53331"/>
        <n v="113252"/>
        <n v="133155"/>
        <n v="61422"/>
        <n v="168001"/>
        <n v="111668"/>
        <n v="67768"/>
        <n v="64347"/>
        <n v="109642"/>
        <n v="118576"/>
        <n v="78523"/>
        <n v="146905"/>
        <n v="73000"/>
        <n v="56548"/>
        <n v="54937"/>
        <n v="49551"/>
        <n v="66713"/>
        <n v="68861"/>
        <n v="58428"/>
        <n v="189938"/>
        <n v="153882"/>
        <n v="109344"/>
        <n v="81707"/>
        <n v="107583"/>
        <n v="80433"/>
        <n v="55459"/>
        <n v="72052"/>
        <n v="71515"/>
        <n v="84438"/>
        <n v="100513"/>
        <n v="71095"/>
        <n v="68451"/>
        <n v="82291"/>
        <n v="70454"/>
        <n v="107221"/>
        <n v="79762"/>
        <n v="99942"/>
        <n v="61498"/>
        <n v="61496"/>
        <n v="122225"/>
        <n v="63235"/>
        <n v="113565"/>
        <n v="136950"/>
        <n v="63304"/>
        <n v="74130"/>
        <n v="87511"/>
        <n v="58742"/>
        <n v="109412"/>
        <n v="59333"/>
        <n v="55398"/>
        <n v="75665"/>
        <n v="72481"/>
        <n v="58973"/>
        <n v="68063"/>
        <n v="69616"/>
        <n v="69134"/>
        <n v="131945"/>
        <n v="53751"/>
        <n v="121863"/>
        <n v="130293"/>
        <n v="53151"/>
        <n v="150898"/>
        <n v="82591"/>
        <n v="81616"/>
        <n v="70382"/>
        <n v="109595"/>
        <n v="58062"/>
        <n v="97925"/>
        <n v="63027"/>
        <n v="113718"/>
        <n v="86103"/>
        <n v="157395"/>
        <n v="123736"/>
        <n v="103552"/>
        <n v="87098"/>
        <n v="68854"/>
        <n v="123945"/>
        <n v="55678"/>
        <n v="160860"/>
        <n v="67937"/>
        <n v="82090"/>
        <n v="102923"/>
        <n v="153838"/>
        <n v="131562"/>
        <n v="93774"/>
        <n v="89569"/>
        <n v="72426"/>
        <n v="68011"/>
        <n v="117582"/>
        <n v="80883"/>
        <n v="89033"/>
        <n v="164708"/>
        <n v="75320"/>
        <n v="134537"/>
        <n v="109994"/>
        <n v="106211"/>
        <n v="104549"/>
        <n v="72421"/>
        <n v="102646"/>
        <n v="60611"/>
        <n v="67047"/>
        <n v="64637"/>
        <n v="35283"/>
        <n v="95274"/>
        <n v="105770"/>
        <n v="61135"/>
        <n v="85019"/>
        <n v="74358"/>
        <n v="104168"/>
        <n v="117108"/>
        <n v="60278"/>
        <n v="124371"/>
        <n v="124812"/>
        <n v="83461"/>
        <n v="68224"/>
        <n v="76761"/>
        <n v="93217"/>
        <n v="108031"/>
        <n v="94437"/>
        <n v="95638"/>
        <n v="103844"/>
        <n v="72328"/>
        <n v="86284"/>
        <n v="110481"/>
        <n v="61439"/>
        <n v="69992"/>
        <n v="72504"/>
        <n v="69087"/>
        <n v="81914"/>
        <n v="79008"/>
        <n v="61842"/>
        <n v="72493"/>
        <n v="199872"/>
        <n v="106351"/>
        <n v="71815"/>
        <n v="82580"/>
        <n v="74133"/>
        <n v="145267"/>
        <n v="135979"/>
        <n v="58841"/>
        <n v="131856"/>
        <n v="69815"/>
        <n v="85883"/>
        <n v="65362"/>
        <n v="65900"/>
        <n v="74642"/>
        <n v="56200"/>
        <n v="115393"/>
        <n v="137047"/>
        <n v="80740"/>
        <n v="78903"/>
        <n v="141110"/>
        <n v="148480"/>
        <n v="70079"/>
        <n v="95995"/>
        <n v="116197"/>
        <n v="54977"/>
        <n v="104283"/>
        <n v="95796"/>
        <n v="92916"/>
        <n v="27308"/>
        <n v="95213"/>
        <n v="94456"/>
        <n v="58631"/>
        <n v="158877"/>
        <n v="105473"/>
        <n v="84778"/>
        <n v="60346"/>
        <n v="159752"/>
        <n v="82565"/>
        <n v="90999"/>
        <n v="66782"/>
        <n v="78070"/>
        <n v="138669"/>
        <n v="137858"/>
        <n v="77206"/>
        <n v="63764"/>
        <n v="55262"/>
        <n v="64278"/>
        <n v="125195"/>
        <n v="67873"/>
        <n v="62229"/>
        <n v="73093"/>
        <n v="107313"/>
        <n v="97745"/>
        <n v="59650"/>
        <n v="69450"/>
        <n v="108062"/>
        <n v="74979"/>
        <n v="80769"/>
        <n v="102936"/>
        <n v="65477"/>
        <n v="93990"/>
        <n v="137372"/>
        <n v="81982"/>
        <n v="102012"/>
        <n v="78766"/>
        <n v="102348"/>
        <n v="59453"/>
        <n v="61256"/>
        <n v="105595"/>
        <n v="72311"/>
        <n v="66381"/>
        <n v="119930"/>
        <n v="89770"/>
        <n v="116260"/>
        <n v="106236"/>
        <n v="117508"/>
        <n v="78028"/>
        <n v="105138"/>
        <n v="80737"/>
        <n v="50422"/>
        <n v="134249"/>
        <n v="137558"/>
        <n v="97830"/>
        <n v="97514"/>
        <n v="87432"/>
        <n v="84650"/>
        <n v="82824"/>
        <n v="90907"/>
        <n v="134106"/>
        <n v="62454"/>
        <n v="100223"/>
        <n v="116324"/>
        <n v="102733"/>
        <n v="59963"/>
        <n v="85277"/>
        <n v="104339"/>
        <n v="96568"/>
        <n v="61412"/>
        <n v="67632"/>
        <n v="64779"/>
        <n v="76791"/>
        <n v="73140"/>
        <n v="92569"/>
        <n v="80906"/>
        <n v="172302"/>
        <n v="121398"/>
        <n v="77538"/>
        <n v="90157"/>
        <n v="75436"/>
        <n v="68834"/>
        <n v="68676"/>
        <n v="72675"/>
        <n v="68416"/>
        <n v="134022"/>
        <n v="140937"/>
        <n v="101436"/>
        <n v="78132"/>
        <n v="61347"/>
        <n v="87423"/>
        <n v="116171"/>
        <n v="113400"/>
        <n v="106871"/>
        <n v="99329"/>
        <n v="92737"/>
        <n v="94506"/>
        <n v="86963"/>
        <n v="63691"/>
        <n v="84363"/>
        <n v="93057"/>
        <n v="88626"/>
        <n v="85683"/>
        <n v="80959"/>
        <n v="72713"/>
        <n v="106608"/>
        <n v="110597"/>
        <n v="91831"/>
        <n v="82518"/>
        <n v="78592"/>
        <n v="68701"/>
        <n v="63347"/>
        <n v="62330"/>
        <n v="120541"/>
        <n v="74052"/>
        <n v="159249"/>
        <n v="90551"/>
        <n v="68480"/>
        <n v="70737"/>
        <n v="89356"/>
        <n v="120126"/>
        <n v="164832"/>
        <n v="111448"/>
        <n v="92014"/>
        <n v="132087"/>
        <n v="91630"/>
        <n v="77592"/>
        <n v="118475"/>
        <n v="136938"/>
        <n v="104730"/>
        <n v="80367"/>
        <n v="99831"/>
        <n v="116053"/>
        <n v="82270"/>
        <n v="82504"/>
        <n v="97615"/>
        <n v="56344"/>
        <n v="110651"/>
        <n v="62231"/>
        <n v="60126"/>
        <n v="111371"/>
        <n v="97736"/>
        <n v="91012"/>
        <n v="83664"/>
        <n v="79627"/>
        <n v="78123"/>
        <n v="75133"/>
        <n v="73534"/>
        <n v="70029"/>
        <n v="70269"/>
        <n v="84367"/>
        <n v="94590"/>
        <n v="84770"/>
        <n v="79461"/>
        <n v="128406"/>
        <n v="109313"/>
        <n v="111239"/>
        <n v="99170"/>
        <n v="76553"/>
        <n v="90138"/>
        <n v="86471"/>
        <n v="79662"/>
        <n v="62405"/>
        <n v="62494"/>
        <n v="97501"/>
        <n v="68865"/>
        <n v="65068"/>
        <n v="87636"/>
        <n v="66287"/>
        <n v="65005"/>
        <n v="78355"/>
        <n v="144497"/>
        <n v="167997"/>
        <n v="108399"/>
        <n v="83085"/>
        <n v="74156"/>
        <n v="60959"/>
        <n v="113915"/>
        <n v="57632"/>
        <n v="137412"/>
        <n v="102715"/>
        <n v="86870"/>
        <n v="80577"/>
        <n v="80377"/>
        <n v="56315"/>
        <n v="69351"/>
        <n v="65428"/>
        <n v="63114"/>
        <n v="61835"/>
        <n v="48286"/>
        <n v="59974"/>
        <n v="37379"/>
        <n v="124876"/>
        <n v="155901"/>
        <n v="96316"/>
        <n v="97653"/>
        <n v="133264"/>
        <n v="81598"/>
        <n v="99342"/>
        <n v="87412"/>
        <n v="80991"/>
        <n v="112167"/>
        <n v="44097"/>
        <n v="141945"/>
        <n v="78487"/>
        <n v="74511"/>
        <n v="102184"/>
        <n v="92275"/>
        <n v="119213"/>
        <n v="117657"/>
        <n v="131492"/>
        <n v="86062"/>
        <n v="69058"/>
        <n v="63838"/>
        <n v="98645"/>
        <n v="98738"/>
        <n v="109692"/>
        <n v="77251"/>
        <n v="104677"/>
        <n v="146073"/>
        <n v="151789"/>
        <n v="106435"/>
        <n v="73515"/>
        <n v="89410"/>
        <n v="121112"/>
        <n v="66049"/>
        <n v="63100"/>
        <n v="94968"/>
        <n v="158063"/>
        <n v="93340"/>
        <n v="82373"/>
        <n v="121373"/>
        <n v="60193"/>
        <n v="66720"/>
        <n v="126993"/>
        <n v="56756"/>
        <n v="102560"/>
        <n v="95447"/>
        <n v="69709"/>
        <n v="110812"/>
        <n v="61296"/>
        <n v="60737"/>
        <n v="56464"/>
        <n v="138454"/>
        <n v="125474"/>
        <n v="154476"/>
        <n v="113066"/>
        <n v="138377"/>
        <n v="89460"/>
        <n v="69948"/>
        <n v="85136"/>
        <n v="69596"/>
        <n v="100369"/>
        <n v="93818"/>
        <n v="105892"/>
        <n v="60409"/>
        <n v="132285"/>
        <n v="95026"/>
        <n v="92922"/>
        <n v="128715"/>
        <n v="93475"/>
        <n v="71971"/>
        <n v="124612"/>
        <n v="70241"/>
        <n v="90908"/>
        <n v="111044"/>
        <n v="91390"/>
        <n v="86965"/>
        <n v="136736"/>
        <n v="98180"/>
        <n v="121966"/>
        <n v="66577"/>
        <n v="58028"/>
        <n v="92142"/>
        <n v="97049"/>
        <n v="99918"/>
        <n v="198283"/>
        <n v="85746"/>
        <n v="39863"/>
        <n v="111498"/>
        <n v="76925"/>
        <n v="111497"/>
        <n v="195424"/>
        <n v="165127"/>
        <n v="124320"/>
        <n v="104252"/>
        <n v="73883"/>
        <n v="84776"/>
        <n v="66085"/>
        <n v="174393"/>
        <n v="119735"/>
        <n v="79360"/>
        <n v="100593"/>
        <n v="63342"/>
        <n v="59932"/>
        <n v="87665"/>
        <n v="81945"/>
        <n v="63335"/>
        <n v="62128"/>
        <n v="55251"/>
        <n v="67128"/>
        <n v="135225"/>
        <n v="130213"/>
        <n v="118624"/>
        <n v="101325"/>
        <n v="99311"/>
        <n v="89733"/>
        <n v="90071"/>
        <n v="81362"/>
        <n v="83981"/>
        <n v="88251"/>
        <n v="77258"/>
        <n v="147908"/>
        <n v="63050"/>
        <n v="90477"/>
        <n v="173613"/>
        <n v="101343"/>
        <n v="106729"/>
        <n v="114917"/>
        <n v="79746"/>
        <n v="57583"/>
        <n v="67928"/>
        <n v="112733"/>
        <n v="156726"/>
        <n v="77046"/>
        <n v="79117"/>
        <n v="61238"/>
        <n v="99729"/>
        <n v="87277"/>
        <n v="75851"/>
        <n v="121727"/>
        <n v="125363"/>
        <n v="85034"/>
        <n v="90083"/>
        <n v="65277"/>
        <n v="124805"/>
        <n v="46551"/>
        <n v="151500"/>
        <n v="98464"/>
        <n v="68597"/>
        <n v="94478"/>
        <n v="76219"/>
        <n v="173469"/>
        <n v="96417"/>
        <n v="105063"/>
        <n v="149702"/>
        <n v="114623"/>
        <n v="157736"/>
        <n v="193766"/>
        <n v="162069"/>
        <n v="100464"/>
        <n v="117103"/>
        <n v="71353"/>
        <n v="82399"/>
        <n v="84682"/>
        <n v="75469"/>
        <n v="93119"/>
        <n v="100936"/>
        <n v="74820"/>
        <n v="122502"/>
        <n v="104633"/>
        <n v="110939"/>
        <n v="82535"/>
        <n v="76566"/>
        <n v="113977"/>
        <n v="116687"/>
        <n v="76598"/>
        <n v="131034"/>
        <n v="37090"/>
        <n v="66406"/>
        <n v="37792"/>
        <n v="144606"/>
        <n v="98591"/>
        <n v="148563"/>
        <n v="131352"/>
        <n v="129811"/>
        <n v="128244"/>
        <n v="83389"/>
        <n v="65397"/>
        <n v="57818"/>
        <n v="59229"/>
        <n v="97462"/>
        <n v="109110"/>
        <n v="83741"/>
        <n v="133271"/>
        <n v="80434"/>
        <n v="58396"/>
        <n v="58372"/>
        <n v="83847"/>
        <n v="134931"/>
        <n v="97016"/>
        <n v="131389"/>
        <n v="92980"/>
        <n v="74199"/>
        <n v="102193"/>
        <n v="72277"/>
        <n v="60002"/>
        <n v="101669"/>
        <n v="72734"/>
        <n v="87445"/>
        <n v="53586"/>
        <n v="174280"/>
        <n v="57259"/>
        <n v="118467"/>
        <n v="143892"/>
        <n v="72683"/>
        <n v="61836"/>
        <n v="161001"/>
        <n v="137639"/>
        <n v="122540"/>
        <n v="43927"/>
        <n v="142092"/>
        <n v="136427"/>
        <n v="129807"/>
        <n v="116800"/>
        <n v="118045"/>
        <n v="93479"/>
        <n v="103915"/>
        <n v="71276"/>
        <n v="62840"/>
        <n v="62219"/>
        <n v="134849"/>
        <n v="101999"/>
        <n v="59843"/>
        <n v="132552"/>
        <n v="98379"/>
        <n v="103933"/>
        <n v="52704"/>
        <n v="178432"/>
        <n v="66537"/>
        <n v="82281"/>
        <n v="102419"/>
        <n v="115521"/>
        <n v="104467"/>
        <n v="74517"/>
        <n v="180961"/>
        <n v="138103"/>
        <n v="120763"/>
        <n v="127387"/>
        <n v="101234"/>
        <n v="174204"/>
        <n v="66360"/>
        <n v="65906"/>
        <n v="82706"/>
        <n v="129150"/>
        <n v="83695"/>
        <n v="99638"/>
        <n v="104579"/>
        <n v="57716"/>
        <n v="106542"/>
        <n v="116771"/>
        <n v="51461"/>
        <n v="62106"/>
        <n v="111856"/>
        <n v="102206"/>
        <n v="50921"/>
        <n v="72329"/>
        <n v="102574"/>
        <n v="76277"/>
        <n v="64416"/>
        <n v="84180"/>
        <n v="88227"/>
        <n v="124786"/>
        <n v="119739"/>
        <n v="69504"/>
        <n v="62135"/>
        <n v="104939"/>
        <n v="57614"/>
        <n v="127186"/>
        <n v="97938"/>
        <n v="110274"/>
        <n v="60372"/>
        <n v="109881"/>
        <n v="94012"/>
        <n v="98628"/>
        <n v="113805"/>
        <n v="105414"/>
        <n v="123073"/>
        <n v="60236"/>
        <n v="73149"/>
        <n v="143236"/>
        <n v="84489"/>
        <n v="62432"/>
        <n v="72207"/>
        <n v="133728"/>
        <n v="130219"/>
        <n v="71775"/>
        <n v="63324"/>
        <n v="96564"/>
        <n v="91625"/>
        <n v="98795"/>
        <n v="90811"/>
        <n v="66194"/>
        <n v="56550"/>
        <n v="206792"/>
        <n v="140599"/>
        <n v="86929"/>
        <n v="159774"/>
        <n v="116360"/>
        <n v="110719"/>
        <n v="82757"/>
        <n v="78314"/>
        <n v="82458"/>
        <n v="136886"/>
        <n v="80366"/>
        <n v="135978"/>
        <n v="120008"/>
        <n v="66979"/>
        <n v="122524"/>
        <n v="93227"/>
        <n v="86421"/>
        <n v="74815"/>
        <n v="71379"/>
        <n v="61361"/>
        <n v="94095"/>
        <n v="91383"/>
        <n v="68410"/>
        <n v="66591"/>
        <n v="57764"/>
        <n v="80299"/>
        <n v="142168"/>
        <n v="139411"/>
        <n v="70704"/>
        <n v="159703"/>
        <n v="153764"/>
        <n v="132777"/>
        <n v="82608"/>
        <n v="67125"/>
        <n v="52031"/>
        <n v="110552"/>
        <n v="99252"/>
        <n v="65422"/>
        <n v="73573"/>
        <n v="67107"/>
        <n v="87718"/>
        <n v="90541"/>
        <n v="67344"/>
        <n v="90483"/>
        <n v="45492"/>
        <n v="75502"/>
        <n v="104690"/>
        <n v="136761"/>
        <n v="98950"/>
        <n v="81579"/>
        <n v="156328"/>
        <n v="179415"/>
        <n v="151829"/>
        <n v="151721"/>
        <n v="120475"/>
        <n v="84358"/>
        <n v="78129"/>
        <n v="160485"/>
        <n v="167848"/>
        <n v="123843"/>
        <n v="99067"/>
        <n v="108384"/>
        <n v="118751"/>
        <n v="68255"/>
        <n v="77277"/>
        <n v="91774"/>
        <n v="139168"/>
        <n v="85873"/>
        <n v="45382"/>
        <n v="106336"/>
        <n v="103995"/>
        <n v="92952"/>
        <n v="82470"/>
        <n v="129350"/>
        <n v="63756"/>
        <n v="111779"/>
        <n v="160607"/>
        <n v="135635"/>
        <n v="71411"/>
        <n v="39758"/>
        <n v="144533"/>
        <n v="119105"/>
        <n v="98130"/>
        <n v="93498"/>
        <n v="88139"/>
        <n v="69007"/>
        <n v="119496"/>
        <n v="67608"/>
        <n v="73994"/>
        <n v="108370"/>
        <n v="71023"/>
        <n v="68448"/>
        <n v="66079"/>
        <n v="153821"/>
        <n v="158215"/>
        <n v="144591"/>
        <n v="139052"/>
        <n v="125847"/>
        <n v="132723"/>
        <n v="142213"/>
        <n v="131481"/>
        <n v="131004"/>
        <n v="105961"/>
        <n v="95276"/>
        <n v="100158"/>
        <n v="94821"/>
        <n v="93296"/>
        <n v="94624"/>
        <n v="95768"/>
        <n v="82320"/>
        <n v="89262"/>
        <n v="75018"/>
        <n v="76376"/>
        <n v="72714"/>
        <n v="82062"/>
        <n v="53662"/>
        <n v="73807"/>
        <n v="70921"/>
        <n v="36541"/>
        <n v="65063"/>
        <n v="60672"/>
        <n v="60932"/>
        <n v="98182"/>
        <n v="100972"/>
        <n v="84957"/>
        <n v="105026"/>
        <n v="71053"/>
        <n v="72797"/>
        <n v="104248"/>
        <n v="151160"/>
        <n v="117483"/>
        <n v="79508"/>
        <n v="115855"/>
        <n v="145874"/>
        <n v="138118"/>
        <n v="89204"/>
        <n v="60869"/>
        <n v="85006"/>
        <n v="57993"/>
        <n v="116026"/>
        <n v="62760"/>
        <n v="94282"/>
        <n v="73886"/>
        <n v="133683"/>
        <n v="145161"/>
        <n v="92849"/>
        <n v="66823"/>
        <n v="119633"/>
        <n v="91213"/>
        <n v="141641"/>
        <n v="98276"/>
        <n v="76911"/>
        <n v="66104"/>
        <n v="176433"/>
        <n v="109183"/>
        <n v="133937"/>
        <n v="85699"/>
        <n v="72480"/>
        <n v="74218"/>
        <n v="90032"/>
        <n v="83235"/>
        <n v="60624"/>
        <n v="49740"/>
        <n v="128450"/>
        <n v="108652"/>
        <n v="88673"/>
        <n v="75186"/>
        <n v="71271"/>
        <n v="75196"/>
        <n v="72588"/>
        <n v="89468"/>
        <n v="87427"/>
        <n v="171599"/>
        <n v="108338"/>
        <n v="78271"/>
        <n v="66129"/>
        <n v="120004"/>
        <n v="141674"/>
        <n v="105317"/>
        <n v="56802"/>
        <n v="48277"/>
        <n v="67077"/>
        <n v="54848"/>
        <n v="109944"/>
        <n v="53384"/>
        <n v="87335"/>
        <n v="129778"/>
        <n v="139501"/>
        <n v="155903"/>
        <n v="97468"/>
        <n v="80056"/>
        <n v="155042"/>
        <n v="65626"/>
        <n v="61888"/>
        <n v="109063"/>
        <n v="140076"/>
        <n v="74029"/>
        <n v="97058"/>
        <n v="81621"/>
        <n v="119851"/>
        <n v="83354"/>
        <n v="92158"/>
        <n v="75051"/>
        <n v="83066"/>
        <n v="136327"/>
        <n v="151471"/>
        <n v="65091"/>
        <n v="71156"/>
        <n v="70335"/>
        <n v="66721"/>
        <n v="82102"/>
        <n v="79264"/>
        <n v="93134"/>
        <n v="81102"/>
        <n v="124665"/>
        <n v="103547"/>
        <n v="64391"/>
        <n v="91323"/>
        <n v="124467"/>
        <n v="55473"/>
        <n v="135448"/>
        <n v="126318"/>
        <n v="125178"/>
        <n v="119607"/>
        <n v="115621"/>
        <n v="119933"/>
        <n v="66923"/>
        <n v="74378"/>
        <n v="82474"/>
      </sharedItems>
    </cacheField>
    <cacheField name="genre" numFmtId="0">
      <sharedItems count="4">
        <s v="genre fiction"/>
        <s v="nonfiction"/>
        <s v="fiction"/>
        <s v="children"/>
      </sharedItems>
    </cacheField>
    <cacheField name="gross sales" numFmtId="0">
      <sharedItems containsSemiMixedTypes="0" containsString="0" containsNumber="1" minValue="104.94" maxValue="47795"/>
    </cacheField>
    <cacheField name="publisher revenue" numFmtId="0">
      <sharedItems containsSemiMixedTypes="0" containsString="0" containsNumber="1" minValue="0" maxValue="28677"/>
    </cacheField>
    <cacheField name="sale price" numFmtId="0">
      <sharedItems containsSemiMixedTypes="0" containsString="0" containsNumber="1" minValue="0.99" maxValue="33.86"/>
    </cacheField>
    <cacheField name="sales rank" numFmtId="0">
      <sharedItems containsSemiMixedTypes="0" containsString="0" containsNumber="1" containsInteger="1" minValue="1" maxValue="1273"/>
    </cacheField>
    <cacheField name="Publisher " numFmtId="0">
      <sharedItems count="9">
        <s v="Amazon Digital Services,  Inc."/>
        <s v="Simon and Schuster Digital Sales Inc"/>
        <s v="Penguin Group (USA) LLC"/>
        <s v="Macmillan"/>
        <s v="HarperCollins Publishing"/>
        <s v="HarperCollins Christian Publishing"/>
        <s v="Random House LLC"/>
        <s v="Hachette Book Group"/>
        <s v="HarperCollins Publishers"/>
      </sharedItems>
    </cacheField>
    <cacheField name="units sold" numFmtId="0">
      <sharedItems containsSemiMixedTypes="0" containsString="0" containsNumber="1" containsInteger="1" minValue="106" maxValue="61560"/>
    </cacheField>
  </cacheFields>
  <extLst>
    <ext xmlns:x14="http://schemas.microsoft.com/office/spreadsheetml/2009/9/main" uri="{725AE2AE-9491-48be-B2B4-4EB974FC3084}">
      <x14:pivotCacheDefinition pivotCacheId="169269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4"/>
    <n v="1928"/>
    <x v="0"/>
    <x v="0"/>
    <x v="0"/>
    <s v="en-US"/>
    <x v="0"/>
    <n v="4.3600000000000003"/>
    <x v="0"/>
    <x v="0"/>
    <n v="214.92"/>
    <n v="0"/>
    <n v="1.99"/>
    <n v="1199"/>
    <x v="0"/>
    <n v="108"/>
  </r>
  <r>
    <n v="775"/>
    <n v="2013"/>
    <x v="1"/>
    <x v="1"/>
    <x v="1"/>
    <s v="eng"/>
    <x v="1"/>
    <n v="3.3"/>
    <x v="1"/>
    <x v="1"/>
    <n v="784.16"/>
    <n v="470.49599999999998"/>
    <n v="6.76"/>
    <n v="897"/>
    <x v="0"/>
    <n v="28728"/>
  </r>
  <r>
    <n v="841"/>
    <n v="2012"/>
    <x v="1"/>
    <x v="2"/>
    <x v="2"/>
    <s v="ara"/>
    <x v="2"/>
    <n v="3.8"/>
    <x v="2"/>
    <x v="1"/>
    <n v="1128.8699999999999"/>
    <n v="677.322"/>
    <n v="9.99"/>
    <n v="984"/>
    <x v="0"/>
    <n v="2889"/>
  </r>
  <r>
    <n v="944"/>
    <n v="2012"/>
    <x v="1"/>
    <x v="3"/>
    <x v="3"/>
    <s v="ara"/>
    <x v="2"/>
    <n v="3.72"/>
    <x v="3"/>
    <x v="1"/>
    <n v="1200.0999999999999"/>
    <n v="720.06"/>
    <n v="10.91"/>
    <n v="1107"/>
    <x v="1"/>
    <n v="4320"/>
  </r>
  <r>
    <n v="281"/>
    <n v="2012"/>
    <x v="1"/>
    <x v="4"/>
    <x v="4"/>
    <s v="eng"/>
    <x v="0"/>
    <n v="4.21"/>
    <x v="4"/>
    <x v="0"/>
    <n v="2875.32"/>
    <n v="1725.192"/>
    <n v="8.82"/>
    <n v="304"/>
    <x v="2"/>
    <n v="326"/>
  </r>
  <r>
    <n v="764"/>
    <n v="2013"/>
    <x v="1"/>
    <x v="5"/>
    <x v="4"/>
    <s v="eng"/>
    <x v="0"/>
    <n v="4.21"/>
    <x v="5"/>
    <x v="0"/>
    <n v="114.84"/>
    <n v="68.903999999999996"/>
    <n v="0.99"/>
    <n v="884"/>
    <x v="0"/>
    <n v="30456"/>
  </r>
  <r>
    <n v="931"/>
    <n v="2012"/>
    <x v="1"/>
    <x v="6"/>
    <x v="5"/>
    <s v="eng"/>
    <x v="0"/>
    <n v="4.0599999999999996"/>
    <x v="6"/>
    <x v="0"/>
    <n v="108.9"/>
    <n v="65.34"/>
    <n v="0.99"/>
    <n v="1097"/>
    <x v="3"/>
    <n v="4320"/>
  </r>
  <r>
    <n v="800"/>
    <n v="2011"/>
    <x v="1"/>
    <x v="7"/>
    <x v="6"/>
    <s v="eng"/>
    <x v="0"/>
    <n v="4.26"/>
    <x v="7"/>
    <x v="0"/>
    <n v="113.85"/>
    <n v="68.31"/>
    <n v="0.99"/>
    <n v="930"/>
    <x v="0"/>
    <n v="2916"/>
  </r>
  <r>
    <n v="589"/>
    <n v="-560"/>
    <x v="2"/>
    <x v="8"/>
    <x v="7"/>
    <s v="eng"/>
    <x v="0"/>
    <n v="4.05"/>
    <x v="8"/>
    <x v="0"/>
    <n v="693.61"/>
    <n v="0"/>
    <n v="4.99"/>
    <n v="663"/>
    <x v="0"/>
    <n v="53784"/>
  </r>
  <r>
    <n v="141"/>
    <n v="1934"/>
    <x v="0"/>
    <x v="9"/>
    <x v="8"/>
    <s v="eng"/>
    <x v="2"/>
    <n v="4.16"/>
    <x v="9"/>
    <x v="0"/>
    <n v="3742.5"/>
    <n v="0"/>
    <n v="4.99"/>
    <n v="150"/>
    <x v="0"/>
    <n v="750"/>
  </r>
  <r>
    <n v="527"/>
    <n v="1930"/>
    <x v="0"/>
    <x v="10"/>
    <x v="8"/>
    <s v="eng"/>
    <x v="0"/>
    <n v="4.03"/>
    <x v="10"/>
    <x v="1"/>
    <n v="669.24"/>
    <n v="401.54399999999998"/>
    <n v="4.29"/>
    <n v="586"/>
    <x v="4"/>
    <n v="4212"/>
  </r>
  <r>
    <n v="879"/>
    <n v="1926"/>
    <x v="0"/>
    <x v="11"/>
    <x v="8"/>
    <s v="eng"/>
    <x v="0"/>
    <n v="4.2"/>
    <x v="11"/>
    <x v="1"/>
    <n v="842.24"/>
    <n v="505.34399999999999"/>
    <n v="7.52"/>
    <n v="1032"/>
    <x v="0"/>
    <n v="4440"/>
  </r>
  <r>
    <n v="140"/>
    <n v="1920"/>
    <x v="0"/>
    <x v="12"/>
    <x v="9"/>
    <s v="eng"/>
    <x v="2"/>
    <n v="3.98"/>
    <x v="12"/>
    <x v="0"/>
    <n v="3012.45"/>
    <n v="0"/>
    <n v="3.99"/>
    <n v="149"/>
    <x v="0"/>
    <n v="755"/>
  </r>
  <r>
    <n v="493"/>
    <n v="2009"/>
    <x v="1"/>
    <x v="13"/>
    <x v="10"/>
    <s v="eng"/>
    <x v="2"/>
    <n v="3.81"/>
    <x v="13"/>
    <x v="0"/>
    <n v="1757.25"/>
    <n v="1054.3499999999999"/>
    <n v="10.65"/>
    <n v="545"/>
    <x v="2"/>
    <n v="4455"/>
  </r>
  <r>
    <n v="685"/>
    <n v="2003"/>
    <x v="1"/>
    <x v="14"/>
    <x v="11"/>
    <s v="en-US"/>
    <x v="0"/>
    <n v="4.1500000000000004"/>
    <x v="14"/>
    <x v="1"/>
    <n v="950.81"/>
    <n v="570.48599999999999"/>
    <n v="7.99"/>
    <n v="787"/>
    <x v="5"/>
    <n v="36720"/>
  </r>
  <r>
    <n v="204"/>
    <n v="1988"/>
    <x v="0"/>
    <x v="15"/>
    <x v="12"/>
    <s v="eng"/>
    <x v="2"/>
    <n v="4.3600000000000003"/>
    <x v="15"/>
    <x v="0"/>
    <n v="455.4"/>
    <n v="273.24"/>
    <n v="0.99"/>
    <n v="224"/>
    <x v="6"/>
    <n v="460"/>
  </r>
  <r>
    <n v="341"/>
    <n v="1947"/>
    <x v="0"/>
    <x v="16"/>
    <x v="13"/>
    <s v="en-US"/>
    <x v="2"/>
    <n v="3.97"/>
    <x v="16"/>
    <x v="0"/>
    <n v="965.58"/>
    <n v="0"/>
    <n v="3.99"/>
    <n v="366"/>
    <x v="0"/>
    <n v="242"/>
  </r>
  <r>
    <n v="278"/>
    <n v="1932"/>
    <x v="0"/>
    <x v="17"/>
    <x v="14"/>
    <s v="eng"/>
    <x v="2"/>
    <n v="4.16"/>
    <x v="17"/>
    <x v="0"/>
    <n v="1676.64"/>
    <n v="0"/>
    <n v="4.99"/>
    <n v="298"/>
    <x v="0"/>
    <n v="336"/>
  </r>
  <r>
    <n v="987"/>
    <n v="1962"/>
    <x v="0"/>
    <x v="18"/>
    <x v="15"/>
    <s v="eng"/>
    <x v="2"/>
    <n v="3.94"/>
    <x v="18"/>
    <x v="0"/>
    <n v="646.91999999999996"/>
    <n v="388.15199999999999"/>
    <n v="5.99"/>
    <n v="1166"/>
    <x v="7"/>
    <n v="108"/>
  </r>
  <r>
    <n v="114"/>
    <n v="2007"/>
    <x v="1"/>
    <x v="19"/>
    <x v="16"/>
    <s v="eng"/>
    <x v="2"/>
    <n v="3.84"/>
    <x v="19"/>
    <x v="0"/>
    <n v="895.95"/>
    <n v="537.57000000000005"/>
    <n v="0.99"/>
    <n v="119"/>
    <x v="0"/>
    <n v="905"/>
  </r>
  <r>
    <n v="1055"/>
    <n v="1996"/>
    <x v="0"/>
    <x v="20"/>
    <x v="17"/>
    <s v="eng"/>
    <x v="2"/>
    <n v="3.91"/>
    <x v="20"/>
    <x v="2"/>
    <n v="589.36"/>
    <n v="353.61599999999999"/>
    <n v="5.56"/>
    <n v="1251"/>
    <x v="7"/>
    <n v="106"/>
  </r>
  <r>
    <n v="203"/>
    <n v="1976"/>
    <x v="0"/>
    <x v="21"/>
    <x v="18"/>
    <s v="en-US"/>
    <x v="3"/>
    <n v="4.42"/>
    <x v="21"/>
    <x v="0"/>
    <n v="460.35"/>
    <n v="276.20999999999998"/>
    <n v="0.99"/>
    <n v="221"/>
    <x v="3"/>
    <n v="465"/>
  </r>
  <r>
    <n v="974"/>
    <n v="2012"/>
    <x v="1"/>
    <x v="22"/>
    <x v="19"/>
    <s v="eng"/>
    <x v="0"/>
    <n v="4.26"/>
    <x v="22"/>
    <x v="2"/>
    <n v="620.21"/>
    <n v="372.12599999999998"/>
    <n v="5.69"/>
    <n v="1150"/>
    <x v="7"/>
    <n v="4240"/>
  </r>
  <r>
    <n v="411"/>
    <n v="2012"/>
    <x v="1"/>
    <x v="23"/>
    <x v="20"/>
    <s v="eng"/>
    <x v="0"/>
    <n v="4.0999999999999996"/>
    <x v="23"/>
    <x v="1"/>
    <n v="1898"/>
    <n v="0"/>
    <n v="9.49"/>
    <n v="450"/>
    <x v="0"/>
    <n v="5400"/>
  </r>
  <r>
    <n v="552"/>
    <n v="1999"/>
    <x v="0"/>
    <x v="24"/>
    <x v="21"/>
    <s v="eng"/>
    <x v="2"/>
    <n v="3.77"/>
    <x v="24"/>
    <x v="3"/>
    <n v="1427.42"/>
    <n v="856.452"/>
    <n v="9.58"/>
    <n v="617"/>
    <x v="0"/>
    <n v="4023"/>
  </r>
  <r>
    <n v="798"/>
    <n v="1956"/>
    <x v="0"/>
    <x v="25"/>
    <x v="22"/>
    <s v="eng"/>
    <x v="0"/>
    <n v="4.1399999999999997"/>
    <x v="25"/>
    <x v="1"/>
    <n v="1269.5999999999999"/>
    <n v="761.76"/>
    <n v="11.04"/>
    <n v="926"/>
    <x v="8"/>
    <n v="2916"/>
  </r>
  <r>
    <n v="125"/>
    <n v="2006"/>
    <x v="1"/>
    <x v="26"/>
    <x v="23"/>
    <s v="en-US"/>
    <x v="2"/>
    <n v="3.82"/>
    <x v="26"/>
    <x v="0"/>
    <n v="10131.549999999999"/>
    <n v="6078.93"/>
    <n v="11.99"/>
    <n v="131"/>
    <x v="7"/>
    <n v="845"/>
  </r>
  <r>
    <n v="1019"/>
    <n v="2010"/>
    <x v="1"/>
    <x v="27"/>
    <x v="23"/>
    <s v="en-US"/>
    <x v="2"/>
    <n v="3.91"/>
    <x v="27"/>
    <x v="0"/>
    <n v="854.93"/>
    <n v="512.95799999999997"/>
    <n v="7.99"/>
    <n v="1201"/>
    <x v="6"/>
    <n v="107"/>
  </r>
  <r>
    <n v="124"/>
    <n v="2011"/>
    <x v="1"/>
    <x v="28"/>
    <x v="24"/>
    <s v="eng"/>
    <x v="2"/>
    <n v="3.52"/>
    <x v="28"/>
    <x v="0"/>
    <n v="841.5"/>
    <n v="504.9"/>
    <n v="0.99"/>
    <n v="130"/>
    <x v="0"/>
    <n v="850"/>
  </r>
  <r>
    <n v="523"/>
    <n v="2012"/>
    <x v="1"/>
    <x v="29"/>
    <x v="24"/>
    <m/>
    <x v="2"/>
    <n v="3.56"/>
    <x v="29"/>
    <x v="0"/>
    <n v="155.43"/>
    <n v="0"/>
    <n v="0.99"/>
    <n v="580"/>
    <x v="0"/>
    <n v="4239"/>
  </r>
  <r>
    <n v="1029"/>
    <n v="2010"/>
    <x v="1"/>
    <x v="30"/>
    <x v="25"/>
    <s v="eng"/>
    <x v="2"/>
    <n v="3.89"/>
    <x v="30"/>
    <x v="0"/>
    <n v="640.92999999999995"/>
    <n v="384.55799999999999"/>
    <n v="5.99"/>
    <n v="1217"/>
    <x v="3"/>
    <n v="107"/>
  </r>
  <r>
    <n v="585"/>
    <n v="2010"/>
    <x v="1"/>
    <x v="31"/>
    <x v="26"/>
    <s v="eng"/>
    <x v="2"/>
    <n v="4"/>
    <x v="31"/>
    <x v="0"/>
    <n v="418.6"/>
    <n v="251.16"/>
    <n v="2.99"/>
    <n v="658"/>
    <x v="0"/>
    <n v="56808"/>
  </r>
  <r>
    <n v="912"/>
    <n v="2011"/>
    <x v="1"/>
    <x v="32"/>
    <x v="26"/>
    <s v="eng"/>
    <x v="2"/>
    <n v="3.98"/>
    <x v="32"/>
    <x v="0"/>
    <n v="109.89"/>
    <n v="65.933999999999997"/>
    <n v="0.99"/>
    <n v="1069"/>
    <x v="0"/>
    <n v="4360"/>
  </r>
  <r>
    <n v="659"/>
    <n v="2011"/>
    <x v="1"/>
    <x v="33"/>
    <x v="27"/>
    <s v="eng"/>
    <x v="2"/>
    <n v="3.99"/>
    <x v="33"/>
    <x v="0"/>
    <n v="712.81"/>
    <n v="427.68599999999998"/>
    <n v="5.99"/>
    <n v="760"/>
    <x v="2"/>
    <n v="40824"/>
  </r>
  <r>
    <n v="317"/>
    <n v="2001"/>
    <x v="1"/>
    <x v="34"/>
    <x v="28"/>
    <s v="en-US"/>
    <x v="2"/>
    <n v="3.98"/>
    <x v="34"/>
    <x v="1"/>
    <n v="263.33999999999997"/>
    <n v="0"/>
    <n v="0.99"/>
    <n v="340"/>
    <x v="0"/>
    <n v="266"/>
  </r>
  <r>
    <n v="354"/>
    <n v="1999"/>
    <x v="0"/>
    <x v="35"/>
    <x v="29"/>
    <s v="eng"/>
    <x v="2"/>
    <n v="3.83"/>
    <x v="35"/>
    <x v="0"/>
    <n v="933.66"/>
    <n v="560.19600000000003"/>
    <n v="3.99"/>
    <n v="381"/>
    <x v="0"/>
    <n v="234"/>
  </r>
  <r>
    <n v="662"/>
    <n v="1996"/>
    <x v="0"/>
    <x v="36"/>
    <x v="30"/>
    <s v="en-US"/>
    <x v="2"/>
    <n v="3.79"/>
    <x v="36"/>
    <x v="0"/>
    <n v="712.81"/>
    <n v="427.68599999999998"/>
    <n v="5.99"/>
    <n v="762"/>
    <x v="3"/>
    <n v="39960"/>
  </r>
  <r>
    <n v="792"/>
    <n v="2005"/>
    <x v="1"/>
    <x v="37"/>
    <x v="31"/>
    <s v="eng"/>
    <x v="2"/>
    <n v="3.8"/>
    <x v="37"/>
    <x v="0"/>
    <n v="343.85"/>
    <n v="206.31"/>
    <n v="2.99"/>
    <n v="917"/>
    <x v="0"/>
    <n v="2916"/>
  </r>
  <r>
    <n v="951"/>
    <n v="2014"/>
    <x v="1"/>
    <x v="38"/>
    <x v="32"/>
    <s v="eng"/>
    <x v="2"/>
    <n v="3.79"/>
    <x v="38"/>
    <x v="0"/>
    <n v="548.9"/>
    <n v="0"/>
    <n v="4.99"/>
    <n v="1120"/>
    <x v="0"/>
    <n v="4280"/>
  </r>
  <r>
    <n v="780"/>
    <n v="1998"/>
    <x v="0"/>
    <x v="39"/>
    <x v="33"/>
    <s v="eng"/>
    <x v="2"/>
    <n v="3.5"/>
    <x v="39"/>
    <x v="0"/>
    <n v="1367.35"/>
    <n v="820.41"/>
    <n v="11.89"/>
    <n v="904"/>
    <x v="1"/>
    <n v="28296"/>
  </r>
  <r>
    <n v="166"/>
    <n v="2011"/>
    <x v="1"/>
    <x v="40"/>
    <x v="34"/>
    <s v="eng"/>
    <x v="2"/>
    <n v="3.85"/>
    <x v="40"/>
    <x v="0"/>
    <n v="1210"/>
    <n v="0"/>
    <n v="2"/>
    <n v="179"/>
    <x v="0"/>
    <n v="605"/>
  </r>
  <r>
    <n v="855"/>
    <n v="1998"/>
    <x v="0"/>
    <x v="41"/>
    <x v="35"/>
    <s v="eng"/>
    <x v="2"/>
    <n v="3.86"/>
    <x v="41"/>
    <x v="0"/>
    <n v="450.87"/>
    <n v="270.52199999999999"/>
    <n v="3.99"/>
    <n v="1001"/>
    <x v="0"/>
    <n v="2862"/>
  </r>
  <r>
    <n v="597"/>
    <n v="1968"/>
    <x v="0"/>
    <x v="42"/>
    <x v="36"/>
    <s v="eng"/>
    <x v="0"/>
    <n v="4.0999999999999996"/>
    <x v="42"/>
    <x v="0"/>
    <n v="133.65"/>
    <n v="0"/>
    <n v="0.99"/>
    <n v="679"/>
    <x v="0"/>
    <n v="52488"/>
  </r>
  <r>
    <n v="165"/>
    <n v="1985"/>
    <x v="0"/>
    <x v="43"/>
    <x v="37"/>
    <s v="eng"/>
    <x v="2"/>
    <n v="4.05"/>
    <x v="43"/>
    <x v="0"/>
    <n v="603.9"/>
    <n v="362.34"/>
    <n v="0.99"/>
    <n v="178"/>
    <x v="0"/>
    <n v="610"/>
  </r>
  <r>
    <n v="367"/>
    <n v="1988"/>
    <x v="0"/>
    <x v="44"/>
    <x v="37"/>
    <s v="eng"/>
    <x v="2"/>
    <n v="3.86"/>
    <x v="44"/>
    <x v="0"/>
    <n v="223.74"/>
    <n v="134.244"/>
    <n v="0.99"/>
    <n v="397"/>
    <x v="0"/>
    <n v="6102"/>
  </r>
  <r>
    <n v="686"/>
    <n v="1990"/>
    <x v="0"/>
    <x v="45"/>
    <x v="37"/>
    <s v="eng"/>
    <x v="0"/>
    <n v="4.0999999999999996"/>
    <x v="45"/>
    <x v="1"/>
    <n v="357.54"/>
    <n v="214.524"/>
    <n v="3.03"/>
    <n v="789"/>
    <x v="0"/>
    <n v="36504"/>
  </r>
  <r>
    <n v="1002"/>
    <n v="1992"/>
    <x v="0"/>
    <x v="46"/>
    <x v="37"/>
    <s v="en-US"/>
    <x v="2"/>
    <n v="3.7"/>
    <x v="46"/>
    <x v="2"/>
    <n v="214.92"/>
    <n v="128.952"/>
    <n v="1.99"/>
    <n v="1186"/>
    <x v="8"/>
    <n v="108"/>
  </r>
  <r>
    <n v="1007"/>
    <n v="2015"/>
    <x v="1"/>
    <x v="47"/>
    <x v="38"/>
    <s v="eng"/>
    <x v="1"/>
    <n v="3.4"/>
    <x v="47"/>
    <x v="0"/>
    <n v="1186.92"/>
    <n v="712.15200000000004"/>
    <n v="10.99"/>
    <n v="1194"/>
    <x v="2"/>
    <n v="108"/>
  </r>
  <r>
    <n v="671"/>
    <n v="1985"/>
    <x v="0"/>
    <x v="48"/>
    <x v="39"/>
    <s v="eng"/>
    <x v="2"/>
    <n v="3.9"/>
    <x v="48"/>
    <x v="0"/>
    <n v="784.21"/>
    <n v="470.52600000000001"/>
    <n v="6.59"/>
    <n v="770"/>
    <x v="0"/>
    <n v="38448"/>
  </r>
  <r>
    <n v="388"/>
    <n v="1993"/>
    <x v="0"/>
    <x v="49"/>
    <x v="40"/>
    <s v="eng"/>
    <x v="2"/>
    <n v="3.83"/>
    <x v="49"/>
    <x v="0"/>
    <n v="1281.8599999999999"/>
    <n v="0"/>
    <n v="5.99"/>
    <n v="421"/>
    <x v="0"/>
    <n v="5778"/>
  </r>
  <r>
    <n v="807"/>
    <n v="1830"/>
    <x v="2"/>
    <x v="50"/>
    <x v="41"/>
    <s v="eng"/>
    <x v="0"/>
    <n v="4.37"/>
    <x v="50"/>
    <x v="0"/>
    <n v="1366.86"/>
    <n v="820.11599999999999"/>
    <n v="11.99"/>
    <n v="941"/>
    <x v="6"/>
    <n v="2916"/>
  </r>
  <r>
    <n v="43"/>
    <n v="2000"/>
    <x v="1"/>
    <x v="51"/>
    <x v="42"/>
    <s v="eng"/>
    <x v="2"/>
    <n v="4"/>
    <x v="51"/>
    <x v="0"/>
    <n v="11057.54"/>
    <n v="6634.5240000000003"/>
    <n v="5.99"/>
    <n v="45"/>
    <x v="8"/>
    <n v="1846"/>
  </r>
  <r>
    <n v="126"/>
    <n v="2008"/>
    <x v="1"/>
    <x v="52"/>
    <x v="43"/>
    <s v="eng"/>
    <x v="2"/>
    <n v="3.71"/>
    <x v="52"/>
    <x v="0"/>
    <n v="6711.6"/>
    <n v="4026.96"/>
    <n v="7.99"/>
    <n v="132"/>
    <x v="6"/>
    <n v="840"/>
  </r>
  <r>
    <n v="1017"/>
    <n v="1970"/>
    <x v="0"/>
    <x v="53"/>
    <x v="44"/>
    <s v="eng"/>
    <x v="0"/>
    <n v="4.18"/>
    <x v="53"/>
    <x v="1"/>
    <n v="322.92"/>
    <n v="193.75200000000001"/>
    <n v="2.99"/>
    <n v="1200"/>
    <x v="8"/>
    <n v="108"/>
  </r>
  <r>
    <n v="734"/>
    <n v="1991"/>
    <x v="0"/>
    <x v="54"/>
    <x v="45"/>
    <s v="eng"/>
    <x v="3"/>
    <n v="4.41"/>
    <x v="54"/>
    <x v="1"/>
    <n v="583.83000000000004"/>
    <n v="350.298"/>
    <n v="4.99"/>
    <n v="842"/>
    <x v="7"/>
    <n v="32832"/>
  </r>
  <r>
    <n v="849"/>
    <n v="1986"/>
    <x v="0"/>
    <x v="55"/>
    <x v="45"/>
    <s v="en-GB"/>
    <x v="3"/>
    <n v="4.53"/>
    <x v="55"/>
    <x v="1"/>
    <n v="111.87"/>
    <n v="67.122"/>
    <n v="0.99"/>
    <n v="994"/>
    <x v="0"/>
    <n v="2862"/>
  </r>
  <r>
    <n v="366"/>
    <n v="1973"/>
    <x v="0"/>
    <x v="56"/>
    <x v="46"/>
    <s v="eng"/>
    <x v="0"/>
    <n v="4.0599999999999996"/>
    <x v="56"/>
    <x v="0"/>
    <n v="1468.69"/>
    <n v="881.21400000000006"/>
    <n v="6.47"/>
    <n v="395"/>
    <x v="0"/>
    <n v="6129"/>
  </r>
  <r>
    <n v="488"/>
    <n v="1953"/>
    <x v="0"/>
    <x v="57"/>
    <x v="46"/>
    <s v="en-US"/>
    <x v="0"/>
    <n v="4.09"/>
    <x v="57"/>
    <x v="0"/>
    <n v="1226.74"/>
    <n v="0"/>
    <n v="7.39"/>
    <n v="539"/>
    <x v="0"/>
    <n v="4482"/>
  </r>
  <r>
    <n v="238"/>
    <n v="1894"/>
    <x v="2"/>
    <x v="58"/>
    <x v="47"/>
    <s v="eng"/>
    <x v="3"/>
    <n v="4.5"/>
    <x v="58"/>
    <x v="0"/>
    <n v="3180.02"/>
    <n v="1908.0119999999999"/>
    <n v="7.99"/>
    <n v="261"/>
    <x v="2"/>
    <n v="398"/>
  </r>
  <r>
    <n v="930"/>
    <n v="1894"/>
    <x v="2"/>
    <x v="59"/>
    <x v="47"/>
    <s v="eng"/>
    <x v="0"/>
    <n v="4.32"/>
    <x v="59"/>
    <x v="1"/>
    <n v="1230.9000000000001"/>
    <n v="738.54"/>
    <n v="11.19"/>
    <n v="1095"/>
    <x v="8"/>
    <n v="4320"/>
  </r>
  <r>
    <n v="87"/>
    <n v="1902"/>
    <x v="0"/>
    <x v="60"/>
    <x v="48"/>
    <s v="eng"/>
    <x v="2"/>
    <n v="4.09"/>
    <x v="60"/>
    <x v="0"/>
    <n v="2356.16"/>
    <n v="1413.6959999999999"/>
    <n v="1.99"/>
    <n v="88"/>
    <x v="3"/>
    <n v="1184"/>
  </r>
  <r>
    <n v="789"/>
    <n v="1914"/>
    <x v="0"/>
    <x v="61"/>
    <x v="49"/>
    <m/>
    <x v="3"/>
    <n v="4.46"/>
    <x v="61"/>
    <x v="1"/>
    <n v="1263.8499999999999"/>
    <n v="758.31"/>
    <n v="10.99"/>
    <n v="914"/>
    <x v="6"/>
    <n v="2916"/>
  </r>
  <r>
    <n v="184"/>
    <n v="1949"/>
    <x v="0"/>
    <x v="62"/>
    <x v="50"/>
    <s v="eng"/>
    <x v="1"/>
    <n v="3.49"/>
    <x v="62"/>
    <x v="0"/>
    <n v="5433.18"/>
    <n v="3259.9079999999999"/>
    <n v="10.91"/>
    <n v="201"/>
    <x v="2"/>
    <n v="498"/>
  </r>
  <r>
    <n v="337"/>
    <n v="1945"/>
    <x v="0"/>
    <x v="63"/>
    <x v="51"/>
    <s v="eng"/>
    <x v="0"/>
    <n v="4.1100000000000003"/>
    <x v="63"/>
    <x v="0"/>
    <n v="977.55"/>
    <n v="586.53"/>
    <n v="3.99"/>
    <n v="360"/>
    <x v="0"/>
    <n v="245"/>
  </r>
  <r>
    <n v="1046"/>
    <n v="2014"/>
    <x v="1"/>
    <x v="64"/>
    <x v="52"/>
    <s v="eng"/>
    <x v="3"/>
    <n v="4.4000000000000004"/>
    <x v="64"/>
    <x v="0"/>
    <n v="319.93"/>
    <n v="0"/>
    <n v="2.99"/>
    <n v="1237"/>
    <x v="0"/>
    <n v="107"/>
  </r>
  <r>
    <n v="950"/>
    <n v="2009"/>
    <x v="1"/>
    <x v="65"/>
    <x v="53"/>
    <s v="en-GB"/>
    <x v="1"/>
    <n v="3.23"/>
    <x v="65"/>
    <x v="1"/>
    <n v="416.9"/>
    <n v="250.14"/>
    <n v="3.79"/>
    <n v="1120"/>
    <x v="8"/>
    <n v="4280"/>
  </r>
  <r>
    <n v="571"/>
    <n v="2003"/>
    <x v="1"/>
    <x v="66"/>
    <x v="54"/>
    <s v="eng"/>
    <x v="0"/>
    <n v="4.01"/>
    <x v="66"/>
    <x v="3"/>
    <n v="1448.55"/>
    <n v="869.13"/>
    <n v="9.99"/>
    <n v="635"/>
    <x v="0"/>
    <n v="3915"/>
  </r>
  <r>
    <n v="610"/>
    <n v="2010"/>
    <x v="1"/>
    <x v="67"/>
    <x v="55"/>
    <s v="en-US"/>
    <x v="2"/>
    <n v="3.86"/>
    <x v="67"/>
    <x v="0"/>
    <n v="130.68"/>
    <n v="78.408000000000001"/>
    <n v="0.99"/>
    <n v="694"/>
    <x v="0"/>
    <n v="50328"/>
  </r>
  <r>
    <n v="984"/>
    <n v="2006"/>
    <x v="1"/>
    <x v="68"/>
    <x v="56"/>
    <s v="eng"/>
    <x v="0"/>
    <n v="4.2"/>
    <x v="68"/>
    <x v="0"/>
    <n v="107.91"/>
    <n v="0"/>
    <n v="0.99"/>
    <n v="1161"/>
    <x v="0"/>
    <n v="109"/>
  </r>
  <r>
    <n v="372"/>
    <n v="1938"/>
    <x v="0"/>
    <x v="69"/>
    <x v="57"/>
    <s v="eng"/>
    <x v="2"/>
    <n v="3.62"/>
    <x v="69"/>
    <x v="0"/>
    <n v="1112.77"/>
    <n v="0"/>
    <n v="4.99"/>
    <n v="403"/>
    <x v="0"/>
    <n v="6021"/>
  </r>
  <r>
    <n v="385"/>
    <n v="2003"/>
    <x v="1"/>
    <x v="70"/>
    <x v="58"/>
    <s v="eng"/>
    <x v="2"/>
    <n v="3.57"/>
    <x v="70"/>
    <x v="0"/>
    <n v="1072.8499999999999"/>
    <n v="0"/>
    <n v="4.99"/>
    <n v="419"/>
    <x v="0"/>
    <n v="5805"/>
  </r>
  <r>
    <n v="515"/>
    <n v="2015"/>
    <x v="1"/>
    <x v="71"/>
    <x v="59"/>
    <s v="eng"/>
    <x v="2"/>
    <n v="3.85"/>
    <x v="71"/>
    <x v="0"/>
    <n v="157.41"/>
    <n v="0"/>
    <n v="0.99"/>
    <n v="571"/>
    <x v="0"/>
    <n v="4293"/>
  </r>
  <r>
    <n v="1020"/>
    <n v="2016"/>
    <x v="1"/>
    <x v="72"/>
    <x v="60"/>
    <s v="eng"/>
    <x v="2"/>
    <n v="3.93"/>
    <x v="72"/>
    <x v="2"/>
    <n v="919.13"/>
    <n v="551.47799999999995"/>
    <n v="8.59"/>
    <n v="1201"/>
    <x v="2"/>
    <n v="107"/>
  </r>
  <r>
    <n v="128"/>
    <n v="1995"/>
    <x v="0"/>
    <x v="73"/>
    <x v="61"/>
    <s v="eng"/>
    <x v="2"/>
    <n v="3.81"/>
    <x v="73"/>
    <x v="1"/>
    <n v="1641.75"/>
    <n v="985.05"/>
    <n v="1.99"/>
    <n v="135"/>
    <x v="8"/>
    <n v="825"/>
  </r>
  <r>
    <n v="159"/>
    <n v="2006"/>
    <x v="1"/>
    <x v="74"/>
    <x v="61"/>
    <s v="en-US"/>
    <x v="2"/>
    <n v="3.69"/>
    <x v="74"/>
    <x v="0"/>
    <n v="3243.5"/>
    <n v="0"/>
    <n v="4.99"/>
    <n v="170"/>
    <x v="0"/>
    <n v="650"/>
  </r>
  <r>
    <n v="329"/>
    <n v="1988"/>
    <x v="0"/>
    <x v="75"/>
    <x v="62"/>
    <s v="eng"/>
    <x v="2"/>
    <n v="3.94"/>
    <x v="75"/>
    <x v="3"/>
    <n v="1635.93"/>
    <n v="981.55799999999999"/>
    <n v="6.57"/>
    <n v="352"/>
    <x v="0"/>
    <n v="249"/>
  </r>
  <r>
    <n v="613"/>
    <n v="2000"/>
    <x v="1"/>
    <x v="76"/>
    <x v="62"/>
    <s v="en-US"/>
    <x v="2"/>
    <n v="3.98"/>
    <x v="76"/>
    <x v="0"/>
    <n v="260.69"/>
    <n v="156.41399999999999"/>
    <n v="1.99"/>
    <n v="696"/>
    <x v="1"/>
    <n v="49896"/>
  </r>
  <r>
    <n v="924"/>
    <n v="2012"/>
    <x v="1"/>
    <x v="77"/>
    <x v="62"/>
    <s v="eng"/>
    <x v="2"/>
    <n v="3.75"/>
    <x v="77"/>
    <x v="0"/>
    <n v="109.89"/>
    <n v="65.933999999999997"/>
    <n v="0.99"/>
    <n v="1085"/>
    <x v="0"/>
    <n v="4360"/>
  </r>
  <r>
    <n v="490"/>
    <n v="2007"/>
    <x v="1"/>
    <x v="78"/>
    <x v="63"/>
    <s v="en-US"/>
    <x v="0"/>
    <n v="4.03"/>
    <x v="78"/>
    <x v="0"/>
    <n v="823.35"/>
    <n v="494.01"/>
    <n v="4.99"/>
    <n v="542"/>
    <x v="0"/>
    <n v="4455"/>
  </r>
  <r>
    <n v="70"/>
    <n v="1901"/>
    <x v="0"/>
    <x v="79"/>
    <x v="64"/>
    <s v="eng"/>
    <x v="2"/>
    <n v="4.17"/>
    <x v="79"/>
    <x v="0"/>
    <n v="9890.85"/>
    <n v="5934.51"/>
    <n v="6.99"/>
    <n v="73"/>
    <x v="2"/>
    <n v="1415"/>
  </r>
  <r>
    <n v="52"/>
    <n v="2011"/>
    <x v="1"/>
    <x v="80"/>
    <x v="65"/>
    <s v="eng"/>
    <x v="2"/>
    <n v="4.16"/>
    <x v="80"/>
    <x v="0"/>
    <n v="8517.93"/>
    <n v="0"/>
    <n v="4.99"/>
    <n v="54"/>
    <x v="0"/>
    <n v="1707"/>
  </r>
  <r>
    <n v="591"/>
    <n v="2012"/>
    <x v="1"/>
    <x v="81"/>
    <x v="65"/>
    <s v="eng"/>
    <x v="0"/>
    <n v="4.22"/>
    <x v="81"/>
    <x v="0"/>
    <n v="1516.62"/>
    <n v="909.97199999999998"/>
    <n v="10.99"/>
    <n v="666"/>
    <x v="2"/>
    <n v="53784"/>
  </r>
  <r>
    <n v="672"/>
    <n v="2012"/>
    <x v="1"/>
    <x v="82"/>
    <x v="66"/>
    <m/>
    <x v="0"/>
    <n v="4.34"/>
    <x v="82"/>
    <x v="2"/>
    <n v="1082.9000000000001"/>
    <n v="649.74"/>
    <n v="9.1"/>
    <n v="770"/>
    <x v="0"/>
    <n v="38232"/>
  </r>
  <r>
    <n v="637"/>
    <n v="1982"/>
    <x v="0"/>
    <x v="83"/>
    <x v="67"/>
    <s v="eng"/>
    <x v="0"/>
    <n v="4.01"/>
    <x v="83"/>
    <x v="0"/>
    <n v="1198.75"/>
    <n v="719.25"/>
    <n v="9.59"/>
    <n v="724"/>
    <x v="8"/>
    <n v="46008"/>
  </r>
  <r>
    <n v="196"/>
    <n v="1995"/>
    <x v="0"/>
    <x v="84"/>
    <x v="68"/>
    <s v="eng"/>
    <x v="2"/>
    <n v="3.73"/>
    <x v="84"/>
    <x v="0"/>
    <n v="1423.24"/>
    <n v="0"/>
    <n v="2.99"/>
    <n v="214"/>
    <x v="0"/>
    <n v="476"/>
  </r>
  <r>
    <n v="1056"/>
    <n v="2010"/>
    <x v="1"/>
    <x v="85"/>
    <x v="69"/>
    <s v="eng"/>
    <x v="2"/>
    <n v="3.92"/>
    <x v="85"/>
    <x v="0"/>
    <n v="316.94"/>
    <n v="0"/>
    <n v="2.99"/>
    <n v="1253"/>
    <x v="0"/>
    <n v="106"/>
  </r>
  <r>
    <n v="771"/>
    <n v="2011"/>
    <x v="1"/>
    <x v="86"/>
    <x v="70"/>
    <s v="eng"/>
    <x v="2"/>
    <n v="3.78"/>
    <x v="86"/>
    <x v="0"/>
    <n v="462.84"/>
    <n v="0"/>
    <n v="3.99"/>
    <n v="892"/>
    <x v="0"/>
    <n v="29376"/>
  </r>
  <r>
    <n v="482"/>
    <n v="1953"/>
    <x v="0"/>
    <x v="87"/>
    <x v="71"/>
    <m/>
    <x v="0"/>
    <n v="4.1399999999999997"/>
    <x v="87"/>
    <x v="1"/>
    <n v="165.33"/>
    <n v="0"/>
    <n v="0.99"/>
    <n v="534"/>
    <x v="0"/>
    <n v="4509"/>
  </r>
  <r>
    <n v="1059"/>
    <n v="1955"/>
    <x v="0"/>
    <x v="88"/>
    <x v="72"/>
    <m/>
    <x v="2"/>
    <n v="3.97"/>
    <x v="88"/>
    <x v="0"/>
    <n v="740.94"/>
    <n v="444.56400000000002"/>
    <n v="6.99"/>
    <n v="1257"/>
    <x v="6"/>
    <n v="106"/>
  </r>
  <r>
    <n v="918"/>
    <n v="1995"/>
    <x v="0"/>
    <x v="89"/>
    <x v="73"/>
    <s v="eng"/>
    <x v="2"/>
    <n v="3.91"/>
    <x v="89"/>
    <x v="0"/>
    <n v="442.89"/>
    <n v="0"/>
    <n v="3.99"/>
    <n v="1076"/>
    <x v="0"/>
    <n v="4360"/>
  </r>
  <r>
    <n v="929"/>
    <n v="2000"/>
    <x v="1"/>
    <x v="90"/>
    <x v="73"/>
    <s v="eng"/>
    <x v="0"/>
    <n v="4.05"/>
    <x v="90"/>
    <x v="0"/>
    <n v="438.9"/>
    <n v="0"/>
    <n v="3.99"/>
    <n v="1093"/>
    <x v="0"/>
    <n v="4320"/>
  </r>
  <r>
    <n v="197"/>
    <n v="1967"/>
    <x v="0"/>
    <x v="91"/>
    <x v="74"/>
    <s v="eng"/>
    <x v="2"/>
    <n v="4.1900000000000004"/>
    <x v="91"/>
    <x v="0"/>
    <n v="2375.2399999999998"/>
    <n v="1425.144"/>
    <n v="4.99"/>
    <n v="214"/>
    <x v="7"/>
    <n v="476"/>
  </r>
  <r>
    <n v="313"/>
    <n v="1989"/>
    <x v="0"/>
    <x v="92"/>
    <x v="75"/>
    <s v="eng"/>
    <x v="0"/>
    <n v="4.21"/>
    <x v="92"/>
    <x v="2"/>
    <n v="1097.25"/>
    <n v="658.35"/>
    <n v="3.99"/>
    <n v="335"/>
    <x v="1"/>
    <n v="275"/>
  </r>
  <r>
    <n v="710"/>
    <n v="2011"/>
    <x v="1"/>
    <x v="93"/>
    <x v="76"/>
    <s v="eng"/>
    <x v="0"/>
    <n v="4.0199999999999996"/>
    <x v="93"/>
    <x v="3"/>
    <n v="872.02"/>
    <n v="523.21199999999999"/>
    <n v="7.39"/>
    <n v="816"/>
    <x v="0"/>
    <n v="35208"/>
  </r>
  <r>
    <n v="479"/>
    <n v="1988"/>
    <x v="0"/>
    <x v="94"/>
    <x v="77"/>
    <s v="en-US"/>
    <x v="3"/>
    <n v="4.6500000000000004"/>
    <x v="94"/>
    <x v="0"/>
    <n v="166.32"/>
    <n v="0"/>
    <n v="0.99"/>
    <n v="530"/>
    <x v="0"/>
    <n v="4536"/>
  </r>
  <r>
    <n v="249"/>
    <n v="1987"/>
    <x v="0"/>
    <x v="95"/>
    <x v="78"/>
    <s v="en-US"/>
    <x v="3"/>
    <n v="4.6100000000000003"/>
    <x v="95"/>
    <x v="1"/>
    <n v="1886.22"/>
    <n v="1131.732"/>
    <n v="4.99"/>
    <n v="273"/>
    <x v="2"/>
    <n v="378"/>
  </r>
  <r>
    <n v="546"/>
    <n v="2001"/>
    <x v="1"/>
    <x v="96"/>
    <x v="79"/>
    <s v="eng"/>
    <x v="2"/>
    <n v="3.99"/>
    <x v="96"/>
    <x v="0"/>
    <n v="1125"/>
    <n v="675"/>
    <n v="7.5"/>
    <n v="610"/>
    <x v="2"/>
    <n v="4050"/>
  </r>
  <r>
    <n v="279"/>
    <n v="2003"/>
    <x v="1"/>
    <x v="97"/>
    <x v="80"/>
    <s v="eng"/>
    <x v="0"/>
    <n v="4.3600000000000003"/>
    <x v="97"/>
    <x v="0"/>
    <n v="666.65"/>
    <n v="399.99"/>
    <n v="1.99"/>
    <n v="299"/>
    <x v="8"/>
    <n v="335"/>
  </r>
  <r>
    <n v="1032"/>
    <n v="2012"/>
    <x v="1"/>
    <x v="98"/>
    <x v="81"/>
    <m/>
    <x v="2"/>
    <n v="3.88"/>
    <x v="98"/>
    <x v="0"/>
    <n v="105.93"/>
    <n v="0"/>
    <n v="0.99"/>
    <n v="1218"/>
    <x v="0"/>
    <n v="107"/>
  </r>
  <r>
    <n v="1030"/>
    <n v="1957"/>
    <x v="0"/>
    <x v="99"/>
    <x v="82"/>
    <s v="eng"/>
    <x v="0"/>
    <n v="4.03"/>
    <x v="99"/>
    <x v="2"/>
    <n v="854.93"/>
    <n v="512.95799999999997"/>
    <n v="7.99"/>
    <n v="1217"/>
    <x v="8"/>
    <n v="107"/>
  </r>
  <r>
    <n v="501"/>
    <n v="2006"/>
    <x v="1"/>
    <x v="100"/>
    <x v="83"/>
    <s v="eng"/>
    <x v="0"/>
    <n v="4.08"/>
    <x v="100"/>
    <x v="0"/>
    <n v="1470.26"/>
    <n v="882.15599999999995"/>
    <n v="9.02"/>
    <n v="553"/>
    <x v="6"/>
    <n v="4401"/>
  </r>
  <r>
    <n v="925"/>
    <n v="2008"/>
    <x v="1"/>
    <x v="101"/>
    <x v="83"/>
    <s v="eng"/>
    <x v="0"/>
    <n v="4.26"/>
    <x v="101"/>
    <x v="0"/>
    <n v="548.9"/>
    <n v="0"/>
    <n v="4.99"/>
    <n v="1089"/>
    <x v="0"/>
    <n v="4360"/>
  </r>
  <r>
    <n v="31"/>
    <n v="2010"/>
    <x v="1"/>
    <x v="102"/>
    <x v="84"/>
    <s v="eng"/>
    <x v="3"/>
    <n v="4.6399999999999997"/>
    <x v="102"/>
    <x v="0"/>
    <n v="2178"/>
    <n v="0"/>
    <n v="0.99"/>
    <n v="32"/>
    <x v="0"/>
    <n v="2200"/>
  </r>
  <r>
    <n v="72"/>
    <n v="2008"/>
    <x v="1"/>
    <x v="103"/>
    <x v="84"/>
    <s v="eng"/>
    <x v="3"/>
    <n v="4.46"/>
    <x v="103"/>
    <x v="1"/>
    <n v="5826.64"/>
    <n v="3495.9839999999999"/>
    <n v="4.21"/>
    <n v="75"/>
    <x v="0"/>
    <n v="1384"/>
  </r>
  <r>
    <n v="331"/>
    <n v="2014"/>
    <x v="1"/>
    <x v="104"/>
    <x v="84"/>
    <s v="eng"/>
    <x v="3"/>
    <n v="4.7699999999999996"/>
    <x v="104"/>
    <x v="0"/>
    <n v="741.52"/>
    <n v="444.91199999999998"/>
    <n v="2.99"/>
    <n v="354"/>
    <x v="8"/>
    <n v="248"/>
  </r>
  <r>
    <n v="439"/>
    <n v="2013"/>
    <x v="1"/>
    <x v="105"/>
    <x v="84"/>
    <s v="eng"/>
    <x v="0"/>
    <n v="4.16"/>
    <x v="105"/>
    <x v="0"/>
    <n v="1243.06"/>
    <n v="745.83600000000001"/>
    <n v="6.83"/>
    <n v="486"/>
    <x v="2"/>
    <n v="4914"/>
  </r>
  <r>
    <n v="518"/>
    <n v="2005"/>
    <x v="1"/>
    <x v="106"/>
    <x v="84"/>
    <s v="eng"/>
    <x v="0"/>
    <n v="4.17"/>
    <x v="106"/>
    <x v="0"/>
    <n v="314.42"/>
    <n v="188.65199999999999"/>
    <n v="1.99"/>
    <n v="574"/>
    <x v="1"/>
    <n v="4266"/>
  </r>
  <r>
    <n v="669"/>
    <n v="2011"/>
    <x v="1"/>
    <x v="107"/>
    <x v="84"/>
    <s v="eng"/>
    <x v="0"/>
    <n v="4.2"/>
    <x v="107"/>
    <x v="0"/>
    <n v="593.80999999999995"/>
    <n v="0"/>
    <n v="4.99"/>
    <n v="768"/>
    <x v="0"/>
    <n v="38448"/>
  </r>
  <r>
    <n v="328"/>
    <n v="2008"/>
    <x v="1"/>
    <x v="108"/>
    <x v="85"/>
    <s v="en-US"/>
    <x v="0"/>
    <n v="4.1500000000000004"/>
    <x v="108"/>
    <x v="0"/>
    <n v="744.51"/>
    <n v="446.70600000000002"/>
    <n v="2.99"/>
    <n v="351"/>
    <x v="6"/>
    <n v="249"/>
  </r>
  <r>
    <n v="881"/>
    <n v="2008"/>
    <x v="1"/>
    <x v="109"/>
    <x v="85"/>
    <s v="en-US"/>
    <x v="0"/>
    <n v="4.2699999999999996"/>
    <x v="109"/>
    <x v="0"/>
    <n v="1326.08"/>
    <n v="795.64800000000002"/>
    <n v="11.84"/>
    <n v="1033"/>
    <x v="6"/>
    <n v="4440"/>
  </r>
  <r>
    <n v="1015"/>
    <n v="2010"/>
    <x v="1"/>
    <x v="110"/>
    <x v="85"/>
    <s v="en-US"/>
    <x v="0"/>
    <n v="4.24"/>
    <x v="110"/>
    <x v="0"/>
    <n v="430.92"/>
    <n v="0"/>
    <n v="3.99"/>
    <n v="1199"/>
    <x v="0"/>
    <n v="108"/>
  </r>
  <r>
    <n v="693"/>
    <n v="1999"/>
    <x v="0"/>
    <x v="111"/>
    <x v="86"/>
    <s v="en-US"/>
    <x v="0"/>
    <n v="4.0599999999999996"/>
    <x v="111"/>
    <x v="0"/>
    <n v="352.82"/>
    <n v="0"/>
    <n v="2.99"/>
    <n v="798"/>
    <x v="0"/>
    <n v="36288"/>
  </r>
  <r>
    <n v="900"/>
    <n v="1986"/>
    <x v="0"/>
    <x v="112"/>
    <x v="87"/>
    <s v="eng"/>
    <x v="0"/>
    <n v="4.1100000000000003"/>
    <x v="112"/>
    <x v="0"/>
    <n v="331.89"/>
    <n v="0"/>
    <n v="2.99"/>
    <n v="1056"/>
    <x v="0"/>
    <n v="4400"/>
  </r>
  <r>
    <n v="498"/>
    <n v="2012"/>
    <x v="1"/>
    <x v="113"/>
    <x v="88"/>
    <s v="eng"/>
    <x v="0"/>
    <n v="4.25"/>
    <x v="113"/>
    <x v="0"/>
    <n v="162.36000000000001"/>
    <n v="97.415999999999997"/>
    <n v="0.99"/>
    <n v="550"/>
    <x v="0"/>
    <n v="4428"/>
  </r>
  <r>
    <n v="668"/>
    <n v="2003"/>
    <x v="1"/>
    <x v="114"/>
    <x v="89"/>
    <s v="eng"/>
    <x v="0"/>
    <n v="4.12"/>
    <x v="114"/>
    <x v="0"/>
    <n v="117.81"/>
    <n v="0"/>
    <n v="0.99"/>
    <n v="767"/>
    <x v="0"/>
    <n v="38664"/>
  </r>
  <r>
    <n v="277"/>
    <n v="2007"/>
    <x v="1"/>
    <x v="115"/>
    <x v="90"/>
    <s v="eng"/>
    <x v="2"/>
    <n v="4.2300000000000004"/>
    <x v="115"/>
    <x v="0"/>
    <n v="1686.62"/>
    <n v="0"/>
    <n v="4.99"/>
    <n v="297"/>
    <x v="0"/>
    <n v="338"/>
  </r>
  <r>
    <n v="907"/>
    <n v="2000"/>
    <x v="1"/>
    <x v="116"/>
    <x v="91"/>
    <s v="eng"/>
    <x v="2"/>
    <n v="3.92"/>
    <x v="116"/>
    <x v="1"/>
    <n v="899.1"/>
    <n v="539.46"/>
    <n v="8.1"/>
    <n v="1061"/>
    <x v="0"/>
    <n v="4400"/>
  </r>
  <r>
    <n v="222"/>
    <n v="2004"/>
    <x v="1"/>
    <x v="117"/>
    <x v="92"/>
    <s v="eng"/>
    <x v="2"/>
    <n v="4.18"/>
    <x v="117"/>
    <x v="0"/>
    <n v="425.7"/>
    <n v="255.42"/>
    <n v="0.99"/>
    <n v="242"/>
    <x v="6"/>
    <n v="430"/>
  </r>
  <r>
    <n v="1066"/>
    <n v="1989"/>
    <x v="0"/>
    <x v="118"/>
    <x v="93"/>
    <s v="eng"/>
    <x v="0"/>
    <n v="4.34"/>
    <x v="118"/>
    <x v="0"/>
    <n v="846.94"/>
    <n v="508.16399999999999"/>
    <n v="7.99"/>
    <n v="1270"/>
    <x v="6"/>
    <n v="106"/>
  </r>
  <r>
    <n v="11"/>
    <n v="1954"/>
    <x v="0"/>
    <x v="119"/>
    <x v="94"/>
    <s v="eng"/>
    <x v="2"/>
    <n v="3.9"/>
    <x v="119"/>
    <x v="2"/>
    <n v="21564"/>
    <n v="12938.4"/>
    <n v="5.99"/>
    <n v="11"/>
    <x v="2"/>
    <n v="3600"/>
  </r>
  <r>
    <n v="110"/>
    <n v="1956"/>
    <x v="0"/>
    <x v="120"/>
    <x v="94"/>
    <s v="eng"/>
    <x v="2"/>
    <n v="4.0199999999999996"/>
    <x v="120"/>
    <x v="0"/>
    <n v="5980"/>
    <n v="3588"/>
    <n v="6.5"/>
    <n v="116"/>
    <x v="0"/>
    <n v="920"/>
  </r>
  <r>
    <n v="575"/>
    <n v="1945"/>
    <x v="0"/>
    <x v="121"/>
    <x v="94"/>
    <s v="en-US"/>
    <x v="0"/>
    <n v="4.28"/>
    <x v="121"/>
    <x v="2"/>
    <n v="1428.57"/>
    <n v="857.14200000000005"/>
    <n v="9.99"/>
    <n v="642"/>
    <x v="2"/>
    <n v="3861"/>
  </r>
  <r>
    <n v="71"/>
    <n v="1953"/>
    <x v="0"/>
    <x v="122"/>
    <x v="95"/>
    <s v="eng"/>
    <x v="2"/>
    <n v="3.95"/>
    <x v="122"/>
    <x v="0"/>
    <n v="5245.36"/>
    <n v="3147.2159999999999"/>
    <n v="3.79"/>
    <n v="75"/>
    <x v="7"/>
    <n v="1384"/>
  </r>
  <r>
    <n v="776"/>
    <n v="2011"/>
    <x v="1"/>
    <x v="123"/>
    <x v="96"/>
    <s v="eng"/>
    <x v="2"/>
    <n v="3.73"/>
    <x v="123"/>
    <x v="0"/>
    <n v="346.84"/>
    <n v="0"/>
    <n v="2.99"/>
    <n v="898"/>
    <x v="0"/>
    <n v="28512"/>
  </r>
  <r>
    <n v="451"/>
    <n v="1994"/>
    <x v="0"/>
    <x v="124"/>
    <x v="97"/>
    <s v="eng"/>
    <x v="0"/>
    <n v="4.05"/>
    <x v="124"/>
    <x v="0"/>
    <n v="1230.24"/>
    <n v="738.14400000000001"/>
    <n v="6.99"/>
    <n v="498"/>
    <x v="8"/>
    <n v="4752"/>
  </r>
  <r>
    <n v="748"/>
    <n v="2002"/>
    <x v="1"/>
    <x v="125"/>
    <x v="98"/>
    <s v="eng"/>
    <x v="2"/>
    <n v="3.81"/>
    <x v="125"/>
    <x v="0"/>
    <n v="583.83000000000004"/>
    <n v="350.298"/>
    <n v="4.99"/>
    <n v="862"/>
    <x v="2"/>
    <n v="31752"/>
  </r>
  <r>
    <n v="472"/>
    <n v="1985"/>
    <x v="0"/>
    <x v="126"/>
    <x v="99"/>
    <s v="eng"/>
    <x v="0"/>
    <n v="4.1100000000000003"/>
    <x v="126"/>
    <x v="0"/>
    <n v="1350.31"/>
    <n v="810.18600000000004"/>
    <n v="7.99"/>
    <n v="524"/>
    <x v="6"/>
    <n v="4563"/>
  </r>
  <r>
    <n v="704"/>
    <n v="1980"/>
    <x v="0"/>
    <x v="127"/>
    <x v="99"/>
    <s v="eng"/>
    <x v="0"/>
    <n v="4.3499999999999996"/>
    <x v="127"/>
    <x v="1"/>
    <n v="1131.6199999999999"/>
    <n v="678.97199999999998"/>
    <n v="9.59"/>
    <n v="810"/>
    <x v="2"/>
    <n v="35640"/>
  </r>
  <r>
    <n v="936"/>
    <n v="2008"/>
    <x v="1"/>
    <x v="128"/>
    <x v="100"/>
    <s v="eng"/>
    <x v="2"/>
    <n v="3.86"/>
    <x v="128"/>
    <x v="0"/>
    <n v="1351.9"/>
    <n v="811.14"/>
    <n v="12.29"/>
    <n v="1101"/>
    <x v="8"/>
    <n v="4320"/>
  </r>
  <r>
    <n v="462"/>
    <n v="2012"/>
    <x v="1"/>
    <x v="129"/>
    <x v="101"/>
    <s v="eng"/>
    <x v="0"/>
    <n v="4.04"/>
    <x v="129"/>
    <x v="0"/>
    <n v="340.29"/>
    <n v="0"/>
    <n v="1.99"/>
    <n v="514"/>
    <x v="0"/>
    <n v="4617"/>
  </r>
  <r>
    <n v="834"/>
    <n v="1940"/>
    <x v="0"/>
    <x v="130"/>
    <x v="102"/>
    <s v="eng"/>
    <x v="2"/>
    <n v="3.97"/>
    <x v="130"/>
    <x v="0"/>
    <n v="454.86"/>
    <n v="0"/>
    <n v="3.99"/>
    <n v="972"/>
    <x v="0"/>
    <n v="2889"/>
  </r>
  <r>
    <n v="76"/>
    <n v="2014"/>
    <x v="1"/>
    <x v="131"/>
    <x v="103"/>
    <s v="eng"/>
    <x v="3"/>
    <n v="4.4800000000000004"/>
    <x v="131"/>
    <x v="0"/>
    <n v="6676.62"/>
    <n v="0"/>
    <n v="4.99"/>
    <n v="78"/>
    <x v="0"/>
    <n v="1338"/>
  </r>
  <r>
    <n v="423"/>
    <n v="2009"/>
    <x v="1"/>
    <x v="132"/>
    <x v="104"/>
    <s v="en-US"/>
    <x v="0"/>
    <n v="4.2"/>
    <x v="132"/>
    <x v="0"/>
    <n v="1726.08"/>
    <n v="1035.6479999999999"/>
    <n v="8.99"/>
    <n v="465"/>
    <x v="8"/>
    <n v="5184"/>
  </r>
  <r>
    <n v="937"/>
    <n v="2004"/>
    <x v="1"/>
    <x v="133"/>
    <x v="105"/>
    <s v="en-US"/>
    <x v="2"/>
    <n v="3.95"/>
    <x v="133"/>
    <x v="1"/>
    <n v="1208.9000000000001"/>
    <n v="725.34"/>
    <n v="10.99"/>
    <n v="1101"/>
    <x v="6"/>
    <n v="4320"/>
  </r>
  <r>
    <n v="137"/>
    <n v="2014"/>
    <x v="1"/>
    <x v="134"/>
    <x v="106"/>
    <s v="eng"/>
    <x v="2"/>
    <n v="3.78"/>
    <x v="134"/>
    <x v="0"/>
    <n v="3112.2"/>
    <n v="0"/>
    <n v="3.99"/>
    <n v="144"/>
    <x v="0"/>
    <n v="780"/>
  </r>
  <r>
    <n v="499"/>
    <n v="2011"/>
    <x v="1"/>
    <x v="135"/>
    <x v="107"/>
    <s v="eng"/>
    <x v="2"/>
    <n v="3.99"/>
    <x v="135"/>
    <x v="0"/>
    <n v="324.37"/>
    <n v="194.62200000000001"/>
    <n v="1.99"/>
    <n v="551"/>
    <x v="0"/>
    <n v="4401"/>
  </r>
  <r>
    <n v="934"/>
    <n v="1967"/>
    <x v="0"/>
    <x v="136"/>
    <x v="108"/>
    <s v="eng"/>
    <x v="0"/>
    <n v="4.03"/>
    <x v="136"/>
    <x v="2"/>
    <n v="218.9"/>
    <n v="131.34"/>
    <n v="1.99"/>
    <n v="1099"/>
    <x v="0"/>
    <n v="4320"/>
  </r>
  <r>
    <n v="27"/>
    <n v="2004"/>
    <x v="1"/>
    <x v="137"/>
    <x v="109"/>
    <s v="eng"/>
    <x v="2"/>
    <n v="4.13"/>
    <x v="137"/>
    <x v="0"/>
    <n v="2376"/>
    <n v="0"/>
    <n v="0.99"/>
    <n v="29"/>
    <x v="0"/>
    <n v="2400"/>
  </r>
  <r>
    <n v="32"/>
    <n v="2003"/>
    <x v="1"/>
    <x v="138"/>
    <x v="109"/>
    <s v="en-GB"/>
    <x v="2"/>
    <n v="4.03"/>
    <x v="138"/>
    <x v="0"/>
    <n v="13178"/>
    <n v="7906.8"/>
    <n v="5.99"/>
    <n v="32"/>
    <x v="8"/>
    <n v="2200"/>
  </r>
  <r>
    <n v="93"/>
    <n v="2007"/>
    <x v="1"/>
    <x v="139"/>
    <x v="109"/>
    <s v="eng"/>
    <x v="2"/>
    <n v="4.05"/>
    <x v="139"/>
    <x v="0"/>
    <n v="6983.24"/>
    <n v="4189.9440000000004"/>
    <n v="6.49"/>
    <n v="95"/>
    <x v="6"/>
    <n v="1076"/>
  </r>
  <r>
    <n v="100"/>
    <n v="2005"/>
    <x v="1"/>
    <x v="140"/>
    <x v="109"/>
    <s v="eng"/>
    <x v="2"/>
    <n v="4.01"/>
    <x v="140"/>
    <x v="0"/>
    <n v="5068.8"/>
    <n v="3041.28"/>
    <n v="5.12"/>
    <n v="102"/>
    <x v="2"/>
    <n v="990"/>
  </r>
  <r>
    <n v="121"/>
    <n v="2006"/>
    <x v="1"/>
    <x v="141"/>
    <x v="109"/>
    <s v="en-US"/>
    <x v="2"/>
    <n v="4.0199999999999996"/>
    <x v="141"/>
    <x v="0"/>
    <n v="6525"/>
    <n v="3915"/>
    <n v="7.5"/>
    <n v="126"/>
    <x v="1"/>
    <n v="870"/>
  </r>
  <r>
    <n v="193"/>
    <n v="2008"/>
    <x v="1"/>
    <x v="142"/>
    <x v="109"/>
    <s v="eng"/>
    <x v="2"/>
    <n v="4.01"/>
    <x v="142"/>
    <x v="0"/>
    <n v="475.2"/>
    <n v="285.12"/>
    <n v="0.99"/>
    <n v="212"/>
    <x v="0"/>
    <n v="480"/>
  </r>
  <r>
    <n v="217"/>
    <n v="2009"/>
    <x v="1"/>
    <x v="143"/>
    <x v="109"/>
    <s v="eng"/>
    <x v="2"/>
    <n v="4.01"/>
    <x v="143"/>
    <x v="0"/>
    <n v="2175.64"/>
    <n v="1305.384"/>
    <n v="4.99"/>
    <n v="238"/>
    <x v="6"/>
    <n v="436"/>
  </r>
  <r>
    <n v="340"/>
    <n v="2010"/>
    <x v="1"/>
    <x v="144"/>
    <x v="109"/>
    <s v="en-US"/>
    <x v="2"/>
    <n v="3.88"/>
    <x v="144"/>
    <x v="0"/>
    <n v="1494.45"/>
    <n v="896.67"/>
    <n v="6.15"/>
    <n v="364"/>
    <x v="0"/>
    <n v="243"/>
  </r>
  <r>
    <n v="670"/>
    <n v="2011"/>
    <x v="1"/>
    <x v="145"/>
    <x v="109"/>
    <s v="eng"/>
    <x v="2"/>
    <n v="3.77"/>
    <x v="145"/>
    <x v="1"/>
    <n v="117.81"/>
    <n v="70.686000000000007"/>
    <n v="0.99"/>
    <n v="770"/>
    <x v="0"/>
    <n v="38448"/>
  </r>
  <r>
    <n v="1057"/>
    <n v="2012"/>
    <x v="1"/>
    <x v="146"/>
    <x v="109"/>
    <s v="eng"/>
    <x v="2"/>
    <n v="3.65"/>
    <x v="146"/>
    <x v="1"/>
    <n v="1058.94"/>
    <n v="635.36400000000003"/>
    <n v="9.99"/>
    <n v="1255"/>
    <x v="0"/>
    <n v="106"/>
  </r>
  <r>
    <n v="787"/>
    <n v="1971"/>
    <x v="0"/>
    <x v="147"/>
    <x v="110"/>
    <s v="en-US"/>
    <x v="0"/>
    <n v="4.01"/>
    <x v="147"/>
    <x v="1"/>
    <n v="343.85"/>
    <n v="206.31"/>
    <n v="2.99"/>
    <n v="913"/>
    <x v="8"/>
    <n v="2916"/>
  </r>
  <r>
    <n v="913"/>
    <n v="1982"/>
    <x v="0"/>
    <x v="148"/>
    <x v="110"/>
    <m/>
    <x v="0"/>
    <n v="4.16"/>
    <x v="148"/>
    <x v="0"/>
    <n v="196.47"/>
    <n v="0"/>
    <n v="1.77"/>
    <n v="1071"/>
    <x v="0"/>
    <n v="4360"/>
  </r>
  <r>
    <n v="783"/>
    <n v="1859"/>
    <x v="2"/>
    <x v="149"/>
    <x v="111"/>
    <s v="eng"/>
    <x v="2"/>
    <n v="3.97"/>
    <x v="149"/>
    <x v="0"/>
    <n v="1033.8499999999999"/>
    <n v="620.30999999999995"/>
    <n v="8.99"/>
    <n v="909"/>
    <x v="8"/>
    <n v="2943"/>
  </r>
  <r>
    <n v="59"/>
    <n v="1849"/>
    <x v="2"/>
    <x v="150"/>
    <x v="112"/>
    <s v="eng"/>
    <x v="2"/>
    <n v="3.96"/>
    <x v="150"/>
    <x v="0"/>
    <n v="18394.849999999999"/>
    <n v="11036.91"/>
    <n v="11.39"/>
    <n v="60"/>
    <x v="7"/>
    <n v="1615"/>
  </r>
  <r>
    <n v="946"/>
    <n v="1853"/>
    <x v="2"/>
    <x v="151"/>
    <x v="113"/>
    <s v="eng"/>
    <x v="2"/>
    <n v="4"/>
    <x v="151"/>
    <x v="0"/>
    <n v="988.9"/>
    <n v="593.34"/>
    <n v="8.99"/>
    <n v="1112"/>
    <x v="8"/>
    <n v="4320"/>
  </r>
  <r>
    <n v="6"/>
    <n v="2011"/>
    <x v="1"/>
    <x v="152"/>
    <x v="114"/>
    <s v="eng"/>
    <x v="2"/>
    <n v="4.03"/>
    <x v="152"/>
    <x v="0"/>
    <n v="27491.67"/>
    <n v="16495.002"/>
    <n v="6.99"/>
    <n v="6"/>
    <x v="8"/>
    <n v="3933"/>
  </r>
  <r>
    <n v="74"/>
    <n v="2007"/>
    <x v="1"/>
    <x v="153"/>
    <x v="115"/>
    <m/>
    <x v="2"/>
    <n v="3.85"/>
    <x v="153"/>
    <x v="0"/>
    <n v="5462.31"/>
    <n v="3277.386"/>
    <n v="3.99"/>
    <n v="76"/>
    <x v="7"/>
    <n v="1369"/>
  </r>
  <r>
    <n v="476"/>
    <n v="2004"/>
    <x v="1"/>
    <x v="154"/>
    <x v="115"/>
    <s v="en-GB"/>
    <x v="2"/>
    <n v="3.79"/>
    <x v="154"/>
    <x v="1"/>
    <n v="1294.54"/>
    <n v="776.72400000000005"/>
    <n v="7.66"/>
    <n v="526"/>
    <x v="1"/>
    <n v="4563"/>
  </r>
  <r>
    <n v="1048"/>
    <n v="2010"/>
    <x v="1"/>
    <x v="155"/>
    <x v="115"/>
    <s v="en-US"/>
    <x v="2"/>
    <n v="3.81"/>
    <x v="155"/>
    <x v="3"/>
    <n v="477"/>
    <n v="286.2"/>
    <n v="4.5"/>
    <n v="1241"/>
    <x v="0"/>
    <n v="106"/>
  </r>
  <r>
    <n v="554"/>
    <n v="2004"/>
    <x v="1"/>
    <x v="156"/>
    <x v="116"/>
    <s v="en-GB"/>
    <x v="1"/>
    <n v="3.43"/>
    <x v="156"/>
    <x v="0"/>
    <n v="146.52000000000001"/>
    <n v="0"/>
    <n v="0.99"/>
    <n v="620"/>
    <x v="0"/>
    <n v="3996"/>
  </r>
  <r>
    <n v="594"/>
    <n v="2009"/>
    <x v="1"/>
    <x v="157"/>
    <x v="116"/>
    <s v="eng"/>
    <x v="2"/>
    <n v="3.42"/>
    <x v="157"/>
    <x v="0"/>
    <n v="836.4"/>
    <n v="501.84"/>
    <n v="6.15"/>
    <n v="675"/>
    <x v="0"/>
    <n v="53352"/>
  </r>
  <r>
    <n v="878"/>
    <n v="2008"/>
    <x v="1"/>
    <x v="158"/>
    <x v="116"/>
    <s v="eng"/>
    <x v="2"/>
    <n v="2.97"/>
    <x v="158"/>
    <x v="0"/>
    <n v="894.88"/>
    <n v="536.928"/>
    <n v="7.99"/>
    <n v="1032"/>
    <x v="6"/>
    <n v="4440"/>
  </r>
  <r>
    <n v="142"/>
    <n v="2013"/>
    <x v="1"/>
    <x v="159"/>
    <x v="117"/>
    <s v="eng"/>
    <x v="2"/>
    <n v="4.26"/>
    <x v="159"/>
    <x v="0"/>
    <n v="2992.5"/>
    <n v="0"/>
    <n v="3.99"/>
    <n v="150"/>
    <x v="0"/>
    <n v="750"/>
  </r>
  <r>
    <n v="94"/>
    <n v="1997"/>
    <x v="0"/>
    <x v="160"/>
    <x v="118"/>
    <s v="en-US"/>
    <x v="2"/>
    <n v="3.97"/>
    <x v="160"/>
    <x v="0"/>
    <n v="6885.89"/>
    <n v="4131.5339999999997"/>
    <n v="6.49"/>
    <n v="96"/>
    <x v="6"/>
    <n v="1061"/>
  </r>
  <r>
    <n v="475"/>
    <n v="2012"/>
    <x v="1"/>
    <x v="161"/>
    <x v="119"/>
    <s v="eng"/>
    <x v="2"/>
    <n v="3.97"/>
    <x v="161"/>
    <x v="0"/>
    <n v="2153.06"/>
    <n v="1291.836"/>
    <n v="12.74"/>
    <n v="525"/>
    <x v="3"/>
    <n v="4563"/>
  </r>
  <r>
    <n v="95"/>
    <n v="1985"/>
    <x v="0"/>
    <x v="162"/>
    <x v="120"/>
    <s v="en-US"/>
    <x v="2"/>
    <n v="4.29"/>
    <x v="162"/>
    <x v="1"/>
    <n v="1035.54"/>
    <n v="621.32399999999996"/>
    <n v="0.99"/>
    <n v="97"/>
    <x v="0"/>
    <n v="1046"/>
  </r>
  <r>
    <n v="612"/>
    <n v="2013"/>
    <x v="1"/>
    <x v="163"/>
    <x v="121"/>
    <s v="eng"/>
    <x v="0"/>
    <n v="4.05"/>
    <x v="163"/>
    <x v="0"/>
    <n v="394.68"/>
    <n v="0"/>
    <n v="2.99"/>
    <n v="695"/>
    <x v="0"/>
    <n v="49896"/>
  </r>
  <r>
    <n v="786"/>
    <n v="2000"/>
    <x v="1"/>
    <x v="164"/>
    <x v="122"/>
    <s v="eng"/>
    <x v="2"/>
    <n v="3.73"/>
    <x v="164"/>
    <x v="0"/>
    <n v="573.85"/>
    <n v="0"/>
    <n v="4.99"/>
    <n v="911"/>
    <x v="0"/>
    <n v="2916"/>
  </r>
  <r>
    <n v="763"/>
    <n v="2007"/>
    <x v="1"/>
    <x v="165"/>
    <x v="123"/>
    <s v="eng"/>
    <x v="2"/>
    <n v="3.96"/>
    <x v="165"/>
    <x v="3"/>
    <n v="694.84"/>
    <n v="416.904"/>
    <n v="5.99"/>
    <n v="883"/>
    <x v="0"/>
    <n v="30456"/>
  </r>
  <r>
    <n v="146"/>
    <n v="2009"/>
    <x v="1"/>
    <x v="166"/>
    <x v="124"/>
    <s v="eng"/>
    <x v="2"/>
    <n v="4.2699999999999996"/>
    <x v="166"/>
    <x v="0"/>
    <n v="3642.7"/>
    <n v="0"/>
    <n v="4.99"/>
    <n v="154"/>
    <x v="0"/>
    <n v="730"/>
  </r>
  <r>
    <n v="212"/>
    <n v="2002"/>
    <x v="1"/>
    <x v="167"/>
    <x v="125"/>
    <s v="en-US"/>
    <x v="2"/>
    <n v="4.26"/>
    <x v="167"/>
    <x v="0"/>
    <n v="4792.5"/>
    <n v="2875.5"/>
    <n v="10.65"/>
    <n v="230"/>
    <x v="6"/>
    <n v="450"/>
  </r>
  <r>
    <n v="622"/>
    <n v="2006"/>
    <x v="1"/>
    <x v="168"/>
    <x v="125"/>
    <s v="en-US"/>
    <x v="0"/>
    <n v="4.08"/>
    <x v="168"/>
    <x v="1"/>
    <n v="127.71"/>
    <n v="76.626000000000005"/>
    <n v="0.99"/>
    <n v="707"/>
    <x v="0"/>
    <n v="48168"/>
  </r>
  <r>
    <n v="117"/>
    <n v="2011"/>
    <x v="1"/>
    <x v="169"/>
    <x v="126"/>
    <s v="en-US"/>
    <x v="2"/>
    <n v="4.08"/>
    <x v="169"/>
    <x v="1"/>
    <n v="10731.05"/>
    <n v="6438.63"/>
    <n v="11.99"/>
    <n v="121"/>
    <x v="6"/>
    <n v="895"/>
  </r>
  <r>
    <n v="838"/>
    <n v="1999"/>
    <x v="0"/>
    <x v="170"/>
    <x v="127"/>
    <s v="eng"/>
    <x v="2"/>
    <n v="3.89"/>
    <x v="170"/>
    <x v="0"/>
    <n v="431.66"/>
    <n v="258.99599999999998"/>
    <n v="3.82"/>
    <n v="980"/>
    <x v="0"/>
    <n v="2889"/>
  </r>
  <r>
    <n v="861"/>
    <n v="2003"/>
    <x v="1"/>
    <x v="171"/>
    <x v="128"/>
    <s v="en-US"/>
    <x v="2"/>
    <n v="3.75"/>
    <x v="171"/>
    <x v="0"/>
    <n v="111.87"/>
    <n v="67.122"/>
    <n v="0.99"/>
    <n v="1007"/>
    <x v="0"/>
    <n v="2862"/>
  </r>
  <r>
    <n v="323"/>
    <n v="1999"/>
    <x v="0"/>
    <x v="172"/>
    <x v="129"/>
    <s v="eng"/>
    <x v="2"/>
    <n v="4"/>
    <x v="172"/>
    <x v="0"/>
    <n v="771.42"/>
    <n v="462.85199999999998"/>
    <n v="2.99"/>
    <n v="345"/>
    <x v="1"/>
    <n v="258"/>
  </r>
  <r>
    <n v="420"/>
    <n v="1999"/>
    <x v="0"/>
    <x v="173"/>
    <x v="129"/>
    <s v="en-US"/>
    <x v="2"/>
    <n v="3.93"/>
    <x v="173"/>
    <x v="0"/>
    <n v="192.06"/>
    <n v="115.236"/>
    <n v="0.99"/>
    <n v="462"/>
    <x v="8"/>
    <n v="5238"/>
  </r>
  <r>
    <n v="593"/>
    <n v="2002"/>
    <x v="1"/>
    <x v="174"/>
    <x v="129"/>
    <m/>
    <x v="2"/>
    <n v="3.73"/>
    <x v="174"/>
    <x v="0"/>
    <n v="1094.6300000000001"/>
    <n v="656.77800000000002"/>
    <n v="7.99"/>
    <n v="671"/>
    <x v="7"/>
    <n v="53352"/>
  </r>
  <r>
    <n v="705"/>
    <n v="2005"/>
    <x v="1"/>
    <x v="175"/>
    <x v="129"/>
    <s v="eng"/>
    <x v="2"/>
    <n v="3.59"/>
    <x v="175"/>
    <x v="2"/>
    <n v="234.82"/>
    <n v="140.892"/>
    <n v="1.99"/>
    <n v="810"/>
    <x v="1"/>
    <n v="35424"/>
  </r>
  <r>
    <n v="858"/>
    <n v="2003"/>
    <x v="1"/>
    <x v="176"/>
    <x v="129"/>
    <s v="eng"/>
    <x v="2"/>
    <n v="3.6"/>
    <x v="176"/>
    <x v="0"/>
    <n v="1015.87"/>
    <n v="609.52200000000005"/>
    <n v="8.99"/>
    <n v="1006"/>
    <x v="7"/>
    <n v="2862"/>
  </r>
  <r>
    <n v="8"/>
    <n v="2012"/>
    <x v="1"/>
    <x v="177"/>
    <x v="130"/>
    <s v="eng"/>
    <x v="2"/>
    <n v="4.34"/>
    <x v="177"/>
    <x v="0"/>
    <n v="26093.67"/>
    <n v="15656.201999999999"/>
    <n v="6.99"/>
    <n v="9"/>
    <x v="8"/>
    <n v="3733"/>
  </r>
  <r>
    <n v="113"/>
    <n v="2012"/>
    <x v="1"/>
    <x v="178"/>
    <x v="130"/>
    <s v="eng"/>
    <x v="2"/>
    <n v="4.29"/>
    <x v="178"/>
    <x v="0"/>
    <n v="900.9"/>
    <n v="0"/>
    <n v="0.99"/>
    <n v="118"/>
    <x v="0"/>
    <n v="910"/>
  </r>
  <r>
    <n v="431"/>
    <n v="2012"/>
    <x v="1"/>
    <x v="179"/>
    <x v="130"/>
    <s v="eng"/>
    <x v="0"/>
    <n v="4.3"/>
    <x v="179"/>
    <x v="0"/>
    <n v="185.13"/>
    <n v="0"/>
    <n v="0.99"/>
    <n v="475"/>
    <x v="0"/>
    <n v="5049"/>
  </r>
  <r>
    <n v="579"/>
    <n v="2014"/>
    <x v="1"/>
    <x v="180"/>
    <x v="130"/>
    <s v="eng"/>
    <x v="0"/>
    <n v="4.33"/>
    <x v="180"/>
    <x v="0"/>
    <n v="969.86"/>
    <n v="581.91600000000005"/>
    <n v="6.83"/>
    <n v="649"/>
    <x v="6"/>
    <n v="61128"/>
  </r>
  <r>
    <n v="599"/>
    <n v="2014"/>
    <x v="1"/>
    <x v="181"/>
    <x v="130"/>
    <s v="eng"/>
    <x v="0"/>
    <n v="4.3"/>
    <x v="181"/>
    <x v="0"/>
    <n v="808.65"/>
    <n v="485.19"/>
    <n v="5.99"/>
    <n v="681"/>
    <x v="6"/>
    <n v="52488"/>
  </r>
  <r>
    <n v="1037"/>
    <n v="2016"/>
    <x v="1"/>
    <x v="182"/>
    <x v="130"/>
    <s v="eng"/>
    <x v="3"/>
    <n v="4.4400000000000004"/>
    <x v="182"/>
    <x v="2"/>
    <n v="747.93"/>
    <n v="448.75799999999998"/>
    <n v="6.99"/>
    <n v="1223"/>
    <x v="2"/>
    <n v="107"/>
  </r>
  <r>
    <n v="991"/>
    <n v="2009"/>
    <x v="1"/>
    <x v="183"/>
    <x v="131"/>
    <s v="eng"/>
    <x v="2"/>
    <n v="3.63"/>
    <x v="183"/>
    <x v="0"/>
    <n v="1659.96"/>
    <n v="995.976"/>
    <n v="15.37"/>
    <n v="1168"/>
    <x v="0"/>
    <n v="108"/>
  </r>
  <r>
    <n v="1008"/>
    <n v="2016"/>
    <x v="1"/>
    <x v="184"/>
    <x v="132"/>
    <s v="eng"/>
    <x v="0"/>
    <n v="4.04"/>
    <x v="184"/>
    <x v="0"/>
    <n v="538.91999999999996"/>
    <n v="0"/>
    <n v="4.99"/>
    <n v="1195"/>
    <x v="0"/>
    <n v="108"/>
  </r>
  <r>
    <n v="605"/>
    <n v="2009"/>
    <x v="1"/>
    <x v="185"/>
    <x v="133"/>
    <s v="en-US"/>
    <x v="2"/>
    <n v="3.93"/>
    <x v="185"/>
    <x v="0"/>
    <n v="394.68"/>
    <n v="0"/>
    <n v="2.99"/>
    <n v="692"/>
    <x v="0"/>
    <n v="51192"/>
  </r>
  <r>
    <n v="1011"/>
    <n v="2012"/>
    <x v="1"/>
    <x v="186"/>
    <x v="134"/>
    <s v="eng"/>
    <x v="2"/>
    <n v="3.77"/>
    <x v="186"/>
    <x v="0"/>
    <n v="538.91999999999996"/>
    <n v="323.35199999999998"/>
    <n v="4.99"/>
    <n v="1197"/>
    <x v="8"/>
    <n v="108"/>
  </r>
  <r>
    <n v="284"/>
    <n v="2005"/>
    <x v="1"/>
    <x v="187"/>
    <x v="135"/>
    <s v="eng"/>
    <x v="0"/>
    <n v="4.12"/>
    <x v="187"/>
    <x v="0"/>
    <n v="1611.77"/>
    <n v="967.06200000000001"/>
    <n v="4.99"/>
    <n v="306"/>
    <x v="1"/>
    <n v="323"/>
  </r>
  <r>
    <n v="590"/>
    <n v="1985"/>
    <x v="0"/>
    <x v="188"/>
    <x v="135"/>
    <s v="eng"/>
    <x v="0"/>
    <n v="4.18"/>
    <x v="188"/>
    <x v="0"/>
    <n v="725.88"/>
    <n v="435.52800000000002"/>
    <n v="5.26"/>
    <n v="665"/>
    <x v="2"/>
    <n v="53784"/>
  </r>
  <r>
    <n v="788"/>
    <n v="1992"/>
    <x v="0"/>
    <x v="189"/>
    <x v="135"/>
    <s v="eng"/>
    <x v="2"/>
    <n v="3.97"/>
    <x v="189"/>
    <x v="0"/>
    <n v="458.85"/>
    <n v="0"/>
    <n v="3.99"/>
    <n v="914"/>
    <x v="0"/>
    <n v="2916"/>
  </r>
  <r>
    <n v="860"/>
    <n v="2005"/>
    <x v="1"/>
    <x v="190"/>
    <x v="136"/>
    <s v="eng"/>
    <x v="2"/>
    <n v="3.91"/>
    <x v="190"/>
    <x v="0"/>
    <n v="789.87"/>
    <n v="473.92200000000003"/>
    <n v="6.99"/>
    <n v="1007"/>
    <x v="0"/>
    <n v="2862"/>
  </r>
  <r>
    <n v="784"/>
    <n v="2003"/>
    <x v="1"/>
    <x v="191"/>
    <x v="137"/>
    <s v="eng"/>
    <x v="0"/>
    <n v="4.0599999999999996"/>
    <x v="191"/>
    <x v="0"/>
    <n v="343.85"/>
    <n v="0"/>
    <n v="2.99"/>
    <n v="909"/>
    <x v="0"/>
    <n v="2943"/>
  </r>
  <r>
    <n v="357"/>
    <n v="1955"/>
    <x v="0"/>
    <x v="192"/>
    <x v="138"/>
    <s v="eng"/>
    <x v="0"/>
    <n v="4.24"/>
    <x v="192"/>
    <x v="0"/>
    <n v="925.68"/>
    <n v="0"/>
    <n v="3.99"/>
    <n v="385"/>
    <x v="0"/>
    <n v="6264"/>
  </r>
  <r>
    <n v="545"/>
    <n v="2016"/>
    <x v="1"/>
    <x v="193"/>
    <x v="139"/>
    <s v="eng"/>
    <x v="1"/>
    <n v="3.45"/>
    <x v="193"/>
    <x v="1"/>
    <n v="1508.49"/>
    <n v="905.09400000000005"/>
    <n v="9.99"/>
    <n v="608"/>
    <x v="0"/>
    <n v="4077"/>
  </r>
  <r>
    <n v="745"/>
    <n v="2011"/>
    <x v="1"/>
    <x v="194"/>
    <x v="140"/>
    <s v="en-US"/>
    <x v="0"/>
    <n v="4.0599999999999996"/>
    <x v="194"/>
    <x v="0"/>
    <n v="232.83"/>
    <n v="139.69800000000001"/>
    <n v="1.99"/>
    <n v="857"/>
    <x v="7"/>
    <n v="31968"/>
  </r>
  <r>
    <n v="853"/>
    <n v="1998"/>
    <x v="0"/>
    <x v="195"/>
    <x v="141"/>
    <s v="eng"/>
    <x v="0"/>
    <n v="4.1399999999999997"/>
    <x v="195"/>
    <x v="1"/>
    <n v="1327.75"/>
    <n v="796.65"/>
    <n v="11.75"/>
    <n v="1000"/>
    <x v="6"/>
    <n v="2862"/>
  </r>
  <r>
    <n v="840"/>
    <n v="2007"/>
    <x v="1"/>
    <x v="196"/>
    <x v="142"/>
    <s v="en-US"/>
    <x v="0"/>
    <n v="4.0999999999999996"/>
    <x v="196"/>
    <x v="0"/>
    <n v="563.87"/>
    <n v="0"/>
    <n v="4.99"/>
    <n v="982"/>
    <x v="0"/>
    <n v="2889"/>
  </r>
  <r>
    <n v="198"/>
    <n v="1989"/>
    <x v="0"/>
    <x v="197"/>
    <x v="143"/>
    <s v="eng"/>
    <x v="2"/>
    <n v="4.21"/>
    <x v="197"/>
    <x v="0"/>
    <n v="470.25"/>
    <n v="0"/>
    <n v="0.99"/>
    <n v="215"/>
    <x v="0"/>
    <n v="475"/>
  </r>
  <r>
    <n v="953"/>
    <n v="1990"/>
    <x v="0"/>
    <x v="198"/>
    <x v="143"/>
    <s v="eng"/>
    <x v="0"/>
    <n v="4.18"/>
    <x v="198"/>
    <x v="1"/>
    <n v="641.29999999999995"/>
    <n v="384.78"/>
    <n v="5.83"/>
    <n v="1124"/>
    <x v="1"/>
    <n v="4280"/>
  </r>
  <r>
    <n v="79"/>
    <n v="2013"/>
    <x v="1"/>
    <x v="199"/>
    <x v="144"/>
    <s v="eng"/>
    <x v="2"/>
    <n v="4.32"/>
    <x v="199"/>
    <x v="0"/>
    <n v="8482.43"/>
    <n v="5089.4579999999996"/>
    <n v="6.49"/>
    <n v="80"/>
    <x v="7"/>
    <n v="1307"/>
  </r>
  <r>
    <n v="88"/>
    <n v="2011"/>
    <x v="1"/>
    <x v="200"/>
    <x v="145"/>
    <s v="eng"/>
    <x v="2"/>
    <n v="4.08"/>
    <x v="200"/>
    <x v="0"/>
    <n v="1157.31"/>
    <n v="694.38599999999997"/>
    <n v="0.99"/>
    <n v="89"/>
    <x v="0"/>
    <n v="1169"/>
  </r>
  <r>
    <n v="752"/>
    <n v="1992"/>
    <x v="0"/>
    <x v="201"/>
    <x v="146"/>
    <s v="en-US"/>
    <x v="2"/>
    <n v="3.97"/>
    <x v="201"/>
    <x v="0"/>
    <n v="892.04"/>
    <n v="535.22400000000005"/>
    <n v="7.69"/>
    <n v="867"/>
    <x v="6"/>
    <n v="31536"/>
  </r>
  <r>
    <n v="636"/>
    <n v="1308"/>
    <x v="2"/>
    <x v="202"/>
    <x v="147"/>
    <s v="eng"/>
    <x v="0"/>
    <n v="4.0599999999999996"/>
    <x v="202"/>
    <x v="0"/>
    <n v="124.74"/>
    <n v="0"/>
    <n v="0.99"/>
    <n v="720"/>
    <x v="0"/>
    <n v="46008"/>
  </r>
  <r>
    <n v="446"/>
    <n v="1320"/>
    <x v="2"/>
    <x v="203"/>
    <x v="148"/>
    <m/>
    <x v="2"/>
    <n v="3.99"/>
    <x v="203"/>
    <x v="2"/>
    <n v="354.22"/>
    <n v="212.53200000000001"/>
    <n v="1.99"/>
    <n v="493"/>
    <x v="7"/>
    <n v="4806"/>
  </r>
  <r>
    <n v="1067"/>
    <n v="1930"/>
    <x v="0"/>
    <x v="204"/>
    <x v="149"/>
    <s v="eng"/>
    <x v="2"/>
    <n v="3.92"/>
    <x v="204"/>
    <x v="0"/>
    <n v="846.94"/>
    <n v="508.16399999999999"/>
    <n v="7.99"/>
    <n v="1271"/>
    <x v="7"/>
    <n v="106"/>
  </r>
  <r>
    <n v="276"/>
    <n v="2013"/>
    <x v="1"/>
    <x v="205"/>
    <x v="150"/>
    <s v="eng"/>
    <x v="1"/>
    <n v="3.46"/>
    <x v="205"/>
    <x v="0"/>
    <n v="3872.6"/>
    <n v="2323.56"/>
    <n v="11.39"/>
    <n v="296"/>
    <x v="2"/>
    <n v="340"/>
  </r>
  <r>
    <n v="707"/>
    <n v="2006"/>
    <x v="1"/>
    <x v="206"/>
    <x v="150"/>
    <s v="eng"/>
    <x v="0"/>
    <n v="4.16"/>
    <x v="206"/>
    <x v="0"/>
    <n v="1680.32"/>
    <n v="1008.192"/>
    <n v="14.24"/>
    <n v="811"/>
    <x v="2"/>
    <n v="35424"/>
  </r>
  <r>
    <n v="1026"/>
    <n v="2008"/>
    <x v="1"/>
    <x v="207"/>
    <x v="150"/>
    <m/>
    <x v="0"/>
    <n v="4.08"/>
    <x v="207"/>
    <x v="0"/>
    <n v="408.74"/>
    <n v="0"/>
    <n v="3.82"/>
    <n v="1214"/>
    <x v="0"/>
    <n v="107"/>
  </r>
  <r>
    <n v="547"/>
    <n v="2001"/>
    <x v="1"/>
    <x v="208"/>
    <x v="151"/>
    <s v="en-GB"/>
    <x v="2"/>
    <n v="3.98"/>
    <x v="208"/>
    <x v="0"/>
    <n v="598.5"/>
    <n v="0"/>
    <n v="3.99"/>
    <n v="611"/>
    <x v="0"/>
    <n v="4050"/>
  </r>
  <r>
    <n v="619"/>
    <n v="1995"/>
    <x v="0"/>
    <x v="209"/>
    <x v="152"/>
    <s v="eng"/>
    <x v="0"/>
    <n v="4.1500000000000004"/>
    <x v="209"/>
    <x v="0"/>
    <n v="1656.2"/>
    <n v="993.72"/>
    <n v="12.74"/>
    <n v="704"/>
    <x v="3"/>
    <n v="48816"/>
  </r>
  <r>
    <n v="1003"/>
    <n v="2005"/>
    <x v="1"/>
    <x v="210"/>
    <x v="152"/>
    <s v="eng"/>
    <x v="0"/>
    <n v="4.0199999999999996"/>
    <x v="210"/>
    <x v="1"/>
    <n v="139.32"/>
    <n v="83.591999999999999"/>
    <n v="1.29"/>
    <n v="1187"/>
    <x v="0"/>
    <n v="108"/>
  </r>
  <r>
    <n v="725"/>
    <n v="2008"/>
    <x v="1"/>
    <x v="211"/>
    <x v="153"/>
    <s v="en-GB"/>
    <x v="0"/>
    <n v="4.28"/>
    <x v="211"/>
    <x v="0"/>
    <n v="232.83"/>
    <n v="139.69800000000001"/>
    <n v="1.99"/>
    <n v="832"/>
    <x v="8"/>
    <n v="34128"/>
  </r>
  <r>
    <n v="887"/>
    <n v="1983"/>
    <x v="0"/>
    <x v="212"/>
    <x v="154"/>
    <m/>
    <x v="0"/>
    <n v="4.13"/>
    <x v="212"/>
    <x v="0"/>
    <n v="334.88"/>
    <n v="0"/>
    <n v="2.99"/>
    <n v="1042"/>
    <x v="0"/>
    <n v="4440"/>
  </r>
  <r>
    <n v="932"/>
    <n v="1984"/>
    <x v="0"/>
    <x v="213"/>
    <x v="154"/>
    <s v="en-US"/>
    <x v="0"/>
    <n v="4.17"/>
    <x v="213"/>
    <x v="0"/>
    <n v="438.9"/>
    <n v="0"/>
    <n v="3.99"/>
    <n v="1098"/>
    <x v="0"/>
    <n v="4320"/>
  </r>
  <r>
    <n v="202"/>
    <n v="1994"/>
    <x v="0"/>
    <x v="214"/>
    <x v="155"/>
    <s v="eng"/>
    <x v="2"/>
    <n v="3.8"/>
    <x v="214"/>
    <x v="0"/>
    <n v="1393.34"/>
    <n v="0"/>
    <n v="2.99"/>
    <n v="220"/>
    <x v="0"/>
    <n v="466"/>
  </r>
  <r>
    <n v="642"/>
    <n v="2015"/>
    <x v="1"/>
    <x v="215"/>
    <x v="156"/>
    <s v="eng"/>
    <x v="2"/>
    <n v="3.73"/>
    <x v="215"/>
    <x v="0"/>
    <n v="121.77"/>
    <n v="73.061999999999998"/>
    <n v="0.99"/>
    <n v="736"/>
    <x v="6"/>
    <n v="45144"/>
  </r>
  <r>
    <n v="306"/>
    <n v="2012"/>
    <x v="1"/>
    <x v="216"/>
    <x v="157"/>
    <s v="eng"/>
    <x v="2"/>
    <n v="3.99"/>
    <x v="216"/>
    <x v="0"/>
    <n v="1149.1199999999999"/>
    <n v="689.47199999999998"/>
    <n v="3.99"/>
    <n v="327"/>
    <x v="0"/>
    <n v="288"/>
  </r>
  <r>
    <n v="156"/>
    <n v="2005"/>
    <x v="1"/>
    <x v="217"/>
    <x v="158"/>
    <s v="eng"/>
    <x v="2"/>
    <n v="4.0599999999999996"/>
    <x v="217"/>
    <x v="0"/>
    <n v="7814.4"/>
    <n v="4688.6400000000003"/>
    <n v="11.84"/>
    <n v="168"/>
    <x v="6"/>
    <n v="660"/>
  </r>
  <r>
    <n v="854"/>
    <n v="2014"/>
    <x v="1"/>
    <x v="218"/>
    <x v="159"/>
    <s v="eng"/>
    <x v="2"/>
    <n v="3.81"/>
    <x v="218"/>
    <x v="0"/>
    <n v="781.96"/>
    <n v="469.17599999999999"/>
    <n v="6.92"/>
    <n v="1001"/>
    <x v="6"/>
    <n v="2862"/>
  </r>
  <r>
    <n v="3"/>
    <n v="2008"/>
    <x v="1"/>
    <x v="219"/>
    <x v="160"/>
    <s v="en-US"/>
    <x v="2"/>
    <n v="4.04"/>
    <x v="219"/>
    <x v="2"/>
    <n v="41250"/>
    <n v="24750"/>
    <n v="7.5"/>
    <n v="3"/>
    <x v="7"/>
    <n v="5500"/>
  </r>
  <r>
    <n v="412"/>
    <n v="1997"/>
    <x v="0"/>
    <x v="220"/>
    <x v="160"/>
    <s v="eng"/>
    <x v="2"/>
    <n v="3.95"/>
    <x v="220"/>
    <x v="0"/>
    <n v="595.01"/>
    <n v="0"/>
    <n v="2.99"/>
    <n v="452"/>
    <x v="0"/>
    <n v="5373"/>
  </r>
  <r>
    <n v="509"/>
    <n v="2013"/>
    <x v="1"/>
    <x v="221"/>
    <x v="160"/>
    <s v="eng"/>
    <x v="2"/>
    <n v="3.8"/>
    <x v="221"/>
    <x v="0"/>
    <n v="478.4"/>
    <n v="287.04000000000002"/>
    <n v="2.99"/>
    <n v="565"/>
    <x v="3"/>
    <n v="4320"/>
  </r>
  <r>
    <n v="785"/>
    <n v="2008"/>
    <x v="1"/>
    <x v="222"/>
    <x v="161"/>
    <s v="eng"/>
    <x v="2"/>
    <n v="3.6"/>
    <x v="222"/>
    <x v="1"/>
    <n v="343.85"/>
    <n v="0"/>
    <n v="2.99"/>
    <n v="910"/>
    <x v="0"/>
    <n v="2943"/>
  </r>
  <r>
    <n v="268"/>
    <n v="1987"/>
    <x v="0"/>
    <x v="223"/>
    <x v="162"/>
    <m/>
    <x v="2"/>
    <n v="4.16"/>
    <x v="223"/>
    <x v="0"/>
    <n v="1049.49"/>
    <n v="0"/>
    <n v="2.99"/>
    <n v="289"/>
    <x v="0"/>
    <n v="351"/>
  </r>
  <r>
    <n v="1047"/>
    <n v="1987"/>
    <x v="0"/>
    <x v="224"/>
    <x v="162"/>
    <s v="eng"/>
    <x v="0"/>
    <n v="4.04"/>
    <x v="224"/>
    <x v="0"/>
    <n v="104.94"/>
    <n v="0"/>
    <n v="0.99"/>
    <n v="1238"/>
    <x v="0"/>
    <n v="106"/>
  </r>
  <r>
    <n v="447"/>
    <n v="2012"/>
    <x v="1"/>
    <x v="225"/>
    <x v="163"/>
    <s v="eng"/>
    <x v="0"/>
    <n v="4.04"/>
    <x v="225"/>
    <x v="0"/>
    <n v="1242.44"/>
    <n v="745.46400000000006"/>
    <n v="6.98"/>
    <n v="494"/>
    <x v="0"/>
    <n v="4806"/>
  </r>
  <r>
    <n v="869"/>
    <n v="2014"/>
    <x v="1"/>
    <x v="226"/>
    <x v="163"/>
    <s v="eng"/>
    <x v="0"/>
    <n v="4.1500000000000004"/>
    <x v="226"/>
    <x v="0"/>
    <n v="334.88"/>
    <n v="0"/>
    <n v="2.99"/>
    <n v="1019"/>
    <x v="0"/>
    <n v="2862"/>
  </r>
  <r>
    <n v="237"/>
    <n v="2003"/>
    <x v="1"/>
    <x v="227"/>
    <x v="164"/>
    <s v="eng"/>
    <x v="2"/>
    <n v="4.07"/>
    <x v="227"/>
    <x v="0"/>
    <n v="4270.6499999999996"/>
    <n v="2562.39"/>
    <n v="10.65"/>
    <n v="259"/>
    <x v="2"/>
    <n v="401"/>
  </r>
  <r>
    <n v="645"/>
    <n v="2001"/>
    <x v="1"/>
    <x v="228"/>
    <x v="164"/>
    <s v="en-US"/>
    <x v="0"/>
    <n v="4.1900000000000004"/>
    <x v="228"/>
    <x v="0"/>
    <n v="1096.78"/>
    <n v="658.06799999999998"/>
    <n v="8.99"/>
    <n v="739"/>
    <x v="6"/>
    <n v="43848"/>
  </r>
  <r>
    <n v="23"/>
    <n v="1993"/>
    <x v="0"/>
    <x v="229"/>
    <x v="165"/>
    <s v="eng"/>
    <x v="2"/>
    <n v="4.38"/>
    <x v="229"/>
    <x v="0"/>
    <n v="8171.67"/>
    <n v="0"/>
    <n v="2.99"/>
    <n v="24"/>
    <x v="0"/>
    <n v="2733"/>
  </r>
  <r>
    <n v="181"/>
    <n v="1996"/>
    <x v="0"/>
    <x v="230"/>
    <x v="165"/>
    <s v="eng"/>
    <x v="2"/>
    <n v="4.34"/>
    <x v="230"/>
    <x v="1"/>
    <n v="1024.8499999999999"/>
    <n v="614.91"/>
    <n v="1.99"/>
    <n v="197"/>
    <x v="0"/>
    <n v="515"/>
  </r>
  <r>
    <n v="333"/>
    <n v="2001"/>
    <x v="1"/>
    <x v="231"/>
    <x v="165"/>
    <s v="eng"/>
    <x v="0"/>
    <n v="4.26"/>
    <x v="231"/>
    <x v="0"/>
    <n v="1141.1400000000001"/>
    <n v="684.68399999999997"/>
    <n v="4.62"/>
    <n v="356"/>
    <x v="2"/>
    <n v="247"/>
  </r>
  <r>
    <n v="495"/>
    <n v="2005"/>
    <x v="1"/>
    <x v="232"/>
    <x v="165"/>
    <s v="eng"/>
    <x v="3"/>
    <n v="4.43"/>
    <x v="232"/>
    <x v="1"/>
    <n v="1746.6"/>
    <n v="1047.96"/>
    <n v="10.65"/>
    <n v="547"/>
    <x v="2"/>
    <n v="4428"/>
  </r>
  <r>
    <n v="744"/>
    <n v="2009"/>
    <x v="1"/>
    <x v="233"/>
    <x v="165"/>
    <s v="eng"/>
    <x v="3"/>
    <n v="4.42"/>
    <x v="233"/>
    <x v="0"/>
    <n v="1391.13"/>
    <n v="834.678"/>
    <n v="11.89"/>
    <n v="854"/>
    <x v="1"/>
    <n v="32184"/>
  </r>
  <r>
    <n v="286"/>
    <n v="1986"/>
    <x v="0"/>
    <x v="234"/>
    <x v="166"/>
    <s v="eng"/>
    <x v="0"/>
    <n v="4.3"/>
    <x v="234"/>
    <x v="0"/>
    <n v="950.82"/>
    <n v="0"/>
    <n v="2.99"/>
    <n v="309"/>
    <x v="0"/>
    <n v="318"/>
  </r>
  <r>
    <n v="781"/>
    <n v="1985"/>
    <x v="0"/>
    <x v="235"/>
    <x v="167"/>
    <s v="eng"/>
    <x v="2"/>
    <n v="3.86"/>
    <x v="235"/>
    <x v="0"/>
    <n v="573.85"/>
    <n v="0"/>
    <n v="4.99"/>
    <n v="905"/>
    <x v="0"/>
    <n v="28296"/>
  </r>
  <r>
    <n v="18"/>
    <n v="1948"/>
    <x v="0"/>
    <x v="236"/>
    <x v="168"/>
    <s v="en-US"/>
    <x v="2"/>
    <n v="4.28"/>
    <x v="236"/>
    <x v="0"/>
    <n v="6234.67"/>
    <n v="3740.8020000000001"/>
    <n v="1.99"/>
    <n v="18"/>
    <x v="1"/>
    <n v="3133"/>
  </r>
  <r>
    <n v="566"/>
    <n v="2004"/>
    <x v="1"/>
    <x v="237"/>
    <x v="169"/>
    <m/>
    <x v="2"/>
    <n v="3.91"/>
    <x v="237"/>
    <x v="0"/>
    <n v="1251.22"/>
    <n v="750.73199999999997"/>
    <n v="8.57"/>
    <n v="631"/>
    <x v="0"/>
    <n v="3942"/>
  </r>
  <r>
    <n v="494"/>
    <n v="2003"/>
    <x v="1"/>
    <x v="238"/>
    <x v="170"/>
    <s v="en-US"/>
    <x v="2"/>
    <n v="3.92"/>
    <x v="238"/>
    <x v="0"/>
    <n v="162.36000000000001"/>
    <n v="0"/>
    <n v="0.99"/>
    <n v="546"/>
    <x v="0"/>
    <n v="4428"/>
  </r>
  <r>
    <n v="339"/>
    <n v="2005"/>
    <x v="1"/>
    <x v="239"/>
    <x v="171"/>
    <s v="eng"/>
    <x v="0"/>
    <n v="4.3"/>
    <x v="239"/>
    <x v="0"/>
    <n v="726.57"/>
    <n v="435.94200000000001"/>
    <n v="2.99"/>
    <n v="364"/>
    <x v="0"/>
    <n v="243"/>
  </r>
  <r>
    <n v="68"/>
    <n v="1980"/>
    <x v="0"/>
    <x v="240"/>
    <x v="172"/>
    <s v="eng"/>
    <x v="2"/>
    <n v="4.22"/>
    <x v="240"/>
    <x v="0"/>
    <n v="11553.54"/>
    <n v="6932.1239999999998"/>
    <n v="7.99"/>
    <n v="71"/>
    <x v="2"/>
    <n v="1446"/>
  </r>
  <r>
    <n v="220"/>
    <n v="1982"/>
    <x v="0"/>
    <x v="241"/>
    <x v="172"/>
    <s v="eng"/>
    <x v="2"/>
    <n v="4.1900000000000004"/>
    <x v="241"/>
    <x v="0"/>
    <n v="2593.67"/>
    <n v="1556.202"/>
    <n v="5.99"/>
    <n v="240"/>
    <x v="7"/>
    <n v="433"/>
  </r>
  <r>
    <n v="483"/>
    <n v="1984"/>
    <x v="0"/>
    <x v="242"/>
    <x v="172"/>
    <s v="eng"/>
    <x v="0"/>
    <n v="4.08"/>
    <x v="242"/>
    <x v="0"/>
    <n v="1985.63"/>
    <n v="1191.3779999999999"/>
    <n v="11.89"/>
    <n v="535"/>
    <x v="8"/>
    <n v="4509"/>
  </r>
  <r>
    <n v="511"/>
    <n v="1987"/>
    <x v="0"/>
    <x v="243"/>
    <x v="172"/>
    <s v="en-US"/>
    <x v="2"/>
    <n v="3.97"/>
    <x v="243"/>
    <x v="1"/>
    <n v="478.4"/>
    <n v="0"/>
    <n v="2.99"/>
    <n v="566"/>
    <x v="0"/>
    <n v="4320"/>
  </r>
  <r>
    <n v="801"/>
    <n v="1992"/>
    <x v="0"/>
    <x v="244"/>
    <x v="172"/>
    <s v="en-US"/>
    <x v="2"/>
    <n v="3.96"/>
    <x v="244"/>
    <x v="1"/>
    <n v="573.85"/>
    <n v="344.31"/>
    <n v="4.99"/>
    <n v="931"/>
    <x v="1"/>
    <n v="2916"/>
  </r>
  <r>
    <n v="917"/>
    <n v="1995"/>
    <x v="0"/>
    <x v="245"/>
    <x v="173"/>
    <s v="eng"/>
    <x v="0"/>
    <n v="4.01"/>
    <x v="245"/>
    <x v="0"/>
    <n v="858.03"/>
    <n v="514.81799999999998"/>
    <n v="7.73"/>
    <n v="1075"/>
    <x v="7"/>
    <n v="4360"/>
  </r>
  <r>
    <n v="267"/>
    <n v="1960"/>
    <x v="0"/>
    <x v="246"/>
    <x v="174"/>
    <m/>
    <x v="2"/>
    <n v="4.12"/>
    <x v="246"/>
    <x v="1"/>
    <n v="706.45"/>
    <n v="423.87"/>
    <n v="1.99"/>
    <n v="287"/>
    <x v="1"/>
    <n v="355"/>
  </r>
  <r>
    <n v="817"/>
    <n v="1954"/>
    <x v="0"/>
    <x v="247"/>
    <x v="174"/>
    <s v="eng"/>
    <x v="0"/>
    <n v="4.16"/>
    <x v="247"/>
    <x v="0"/>
    <n v="112.86"/>
    <n v="67.715999999999994"/>
    <n v="0.99"/>
    <n v="955"/>
    <x v="0"/>
    <n v="2916"/>
  </r>
  <r>
    <n v="691"/>
    <n v="1945"/>
    <x v="0"/>
    <x v="248"/>
    <x v="175"/>
    <s v="en-US"/>
    <x v="2"/>
    <n v="3.88"/>
    <x v="248"/>
    <x v="0"/>
    <n v="352.82"/>
    <n v="211.69200000000001"/>
    <n v="2.99"/>
    <n v="797"/>
    <x v="0"/>
    <n v="36504"/>
  </r>
  <r>
    <n v="49"/>
    <n v="1950"/>
    <x v="0"/>
    <x v="249"/>
    <x v="176"/>
    <s v="en-US"/>
    <x v="2"/>
    <n v="3.83"/>
    <x v="249"/>
    <x v="0"/>
    <n v="15058.27"/>
    <n v="9034.9619999999995"/>
    <n v="8.59"/>
    <n v="51"/>
    <x v="7"/>
    <n v="1753"/>
  </r>
  <r>
    <n v="573"/>
    <n v="2015"/>
    <x v="1"/>
    <x v="250"/>
    <x v="177"/>
    <s v="en-GB"/>
    <x v="2"/>
    <n v="3.76"/>
    <x v="250"/>
    <x v="0"/>
    <n v="1134.72"/>
    <n v="680.83199999999999"/>
    <n v="7.88"/>
    <n v="637"/>
    <x v="7"/>
    <n v="3888"/>
  </r>
  <r>
    <n v="262"/>
    <n v="1967"/>
    <x v="0"/>
    <x v="251"/>
    <x v="178"/>
    <s v="eng"/>
    <x v="2"/>
    <n v="4.1500000000000004"/>
    <x v="251"/>
    <x v="0"/>
    <n v="1085.3699999999999"/>
    <n v="651.22199999999998"/>
    <n v="2.99"/>
    <n v="282"/>
    <x v="0"/>
    <n v="363"/>
  </r>
  <r>
    <n v="298"/>
    <n v="1908"/>
    <x v="0"/>
    <x v="252"/>
    <x v="179"/>
    <s v="eng"/>
    <x v="2"/>
    <n v="3.91"/>
    <x v="252"/>
    <x v="0"/>
    <n v="891.02"/>
    <n v="0"/>
    <n v="2.99"/>
    <n v="321"/>
    <x v="0"/>
    <n v="298"/>
  </r>
  <r>
    <n v="188"/>
    <n v="2005"/>
    <x v="1"/>
    <x v="253"/>
    <x v="180"/>
    <s v="eng"/>
    <x v="2"/>
    <n v="4.0199999999999996"/>
    <x v="253"/>
    <x v="0"/>
    <n v="483.12"/>
    <n v="289.87200000000001"/>
    <n v="0.99"/>
    <n v="207"/>
    <x v="0"/>
    <n v="488"/>
  </r>
  <r>
    <n v="213"/>
    <n v="1997"/>
    <x v="0"/>
    <x v="254"/>
    <x v="180"/>
    <s v="eng"/>
    <x v="2"/>
    <n v="4.0999999999999996"/>
    <x v="254"/>
    <x v="0"/>
    <n v="4771.2"/>
    <n v="2862.72"/>
    <n v="10.65"/>
    <n v="231"/>
    <x v="2"/>
    <n v="448"/>
  </r>
  <r>
    <n v="1035"/>
    <n v="1911"/>
    <x v="0"/>
    <x v="255"/>
    <x v="181"/>
    <s v="eng"/>
    <x v="1"/>
    <n v="3.35"/>
    <x v="255"/>
    <x v="1"/>
    <n v="405.53"/>
    <n v="243.31800000000001"/>
    <n v="3.79"/>
    <n v="1222"/>
    <x v="8"/>
    <n v="107"/>
  </r>
  <r>
    <n v="368"/>
    <n v="1920"/>
    <x v="0"/>
    <x v="256"/>
    <x v="182"/>
    <s v="eng"/>
    <x v="2"/>
    <n v="3.93"/>
    <x v="256"/>
    <x v="0"/>
    <n v="1188.76"/>
    <n v="713.25599999999997"/>
    <n v="5.26"/>
    <n v="398"/>
    <x v="0"/>
    <n v="6102"/>
  </r>
  <r>
    <n v="978"/>
    <n v="1905"/>
    <x v="0"/>
    <x v="257"/>
    <x v="183"/>
    <s v="eng"/>
    <x v="2"/>
    <n v="3.94"/>
    <x v="257"/>
    <x v="0"/>
    <n v="325.91000000000003"/>
    <n v="0"/>
    <n v="2.99"/>
    <n v="1154"/>
    <x v="0"/>
    <n v="4240"/>
  </r>
  <r>
    <n v="790"/>
    <n v="1997"/>
    <x v="0"/>
    <x v="258"/>
    <x v="184"/>
    <s v="eng"/>
    <x v="3"/>
    <n v="4.42"/>
    <x v="258"/>
    <x v="0"/>
    <n v="458.85"/>
    <n v="0"/>
    <n v="3.99"/>
    <n v="915"/>
    <x v="0"/>
    <n v="2916"/>
  </r>
  <r>
    <n v="656"/>
    <n v="2011"/>
    <x v="1"/>
    <x v="259"/>
    <x v="185"/>
    <s v="eng"/>
    <x v="2"/>
    <n v="3.88"/>
    <x v="259"/>
    <x v="1"/>
    <n v="912.73"/>
    <n v="547.63800000000003"/>
    <n v="7.67"/>
    <n v="753"/>
    <x v="6"/>
    <n v="41472"/>
  </r>
  <r>
    <n v="649"/>
    <n v="2010"/>
    <x v="1"/>
    <x v="260"/>
    <x v="186"/>
    <s v="eng"/>
    <x v="0"/>
    <n v="4.17"/>
    <x v="260"/>
    <x v="0"/>
    <n v="119.79"/>
    <n v="71.873999999999995"/>
    <n v="0.99"/>
    <n v="743"/>
    <x v="0"/>
    <n v="43416"/>
  </r>
  <r>
    <n v="583"/>
    <n v="1854"/>
    <x v="2"/>
    <x v="261"/>
    <x v="187"/>
    <s v="eng"/>
    <x v="0"/>
    <n v="4.13"/>
    <x v="261"/>
    <x v="0"/>
    <n v="562.59"/>
    <n v="0"/>
    <n v="3.99"/>
    <n v="653"/>
    <x v="0"/>
    <n v="58968"/>
  </r>
  <r>
    <n v="530"/>
    <n v="1958"/>
    <x v="0"/>
    <x v="262"/>
    <x v="188"/>
    <s v="en-US"/>
    <x v="2"/>
    <n v="3.97"/>
    <x v="262"/>
    <x v="1"/>
    <n v="1230.46"/>
    <n v="738.27599999999995"/>
    <n v="7.99"/>
    <n v="591"/>
    <x v="2"/>
    <n v="4158"/>
  </r>
  <r>
    <n v="740"/>
    <n v="2012"/>
    <x v="1"/>
    <x v="263"/>
    <x v="189"/>
    <s v="eng"/>
    <x v="2"/>
    <n v="3.81"/>
    <x v="263"/>
    <x v="1"/>
    <n v="232.83"/>
    <n v="139.69800000000001"/>
    <n v="1.99"/>
    <n v="848"/>
    <x v="0"/>
    <n v="32400"/>
  </r>
  <r>
    <n v="399"/>
    <n v="2008"/>
    <x v="1"/>
    <x v="264"/>
    <x v="190"/>
    <s v="eng"/>
    <x v="2"/>
    <n v="3.78"/>
    <x v="264"/>
    <x v="0"/>
    <n v="205.92"/>
    <n v="0"/>
    <n v="0.99"/>
    <n v="433"/>
    <x v="0"/>
    <n v="5616"/>
  </r>
  <r>
    <n v="631"/>
    <n v="2011"/>
    <x v="1"/>
    <x v="265"/>
    <x v="191"/>
    <s v="en-US"/>
    <x v="2"/>
    <n v="3.72"/>
    <x v="265"/>
    <x v="0"/>
    <n v="843.28"/>
    <n v="505.96800000000002"/>
    <n v="6.64"/>
    <n v="714"/>
    <x v="7"/>
    <n v="46872"/>
  </r>
  <r>
    <n v="396"/>
    <n v="2004"/>
    <x v="1"/>
    <x v="266"/>
    <x v="192"/>
    <s v="eng"/>
    <x v="0"/>
    <n v="4.16"/>
    <x v="266"/>
    <x v="0"/>
    <n v="833.91"/>
    <n v="0"/>
    <n v="3.99"/>
    <n v="431"/>
    <x v="0"/>
    <n v="5643"/>
  </r>
  <r>
    <n v="326"/>
    <n v="1978"/>
    <x v="0"/>
    <x v="267"/>
    <x v="193"/>
    <s v="eng"/>
    <x v="0"/>
    <n v="4.03"/>
    <x v="267"/>
    <x v="0"/>
    <n v="997.5"/>
    <n v="598.5"/>
    <n v="3.99"/>
    <n v="350"/>
    <x v="0"/>
    <n v="250"/>
  </r>
  <r>
    <n v="961"/>
    <n v="1890"/>
    <x v="2"/>
    <x v="268"/>
    <x v="194"/>
    <s v="eng"/>
    <x v="0"/>
    <n v="4.21"/>
    <x v="268"/>
    <x v="0"/>
    <n v="543.91"/>
    <n v="0"/>
    <n v="4.99"/>
    <n v="1132"/>
    <x v="0"/>
    <n v="4280"/>
  </r>
  <r>
    <n v="116"/>
    <n v="2006"/>
    <x v="1"/>
    <x v="269"/>
    <x v="195"/>
    <s v="en-US"/>
    <x v="2"/>
    <n v="3.71"/>
    <x v="269"/>
    <x v="1"/>
    <n v="5841"/>
    <n v="3504.6"/>
    <n v="6.49"/>
    <n v="120"/>
    <x v="3"/>
    <n v="900"/>
  </r>
  <r>
    <n v="163"/>
    <n v="2008"/>
    <x v="1"/>
    <x v="270"/>
    <x v="195"/>
    <s v="en-US"/>
    <x v="2"/>
    <n v="3.7"/>
    <x v="270"/>
    <x v="0"/>
    <n v="5663.7"/>
    <n v="3398.22"/>
    <n v="8.99"/>
    <n v="174"/>
    <x v="1"/>
    <n v="630"/>
  </r>
  <r>
    <n v="541"/>
    <n v="2010"/>
    <x v="1"/>
    <x v="271"/>
    <x v="195"/>
    <s v="en-US"/>
    <x v="2"/>
    <n v="3.73"/>
    <x v="271"/>
    <x v="0"/>
    <n v="910.48"/>
    <n v="546.28800000000001"/>
    <n v="5.99"/>
    <n v="603"/>
    <x v="1"/>
    <n v="4104"/>
  </r>
  <r>
    <n v="737"/>
    <n v="2012"/>
    <x v="1"/>
    <x v="272"/>
    <x v="195"/>
    <s v="en-US"/>
    <x v="2"/>
    <n v="3.86"/>
    <x v="272"/>
    <x v="1"/>
    <n v="115.83"/>
    <n v="0"/>
    <n v="0.99"/>
    <n v="845"/>
    <x v="0"/>
    <n v="32616"/>
  </r>
  <r>
    <n v="643"/>
    <n v="2016"/>
    <x v="1"/>
    <x v="273"/>
    <x v="196"/>
    <s v="eng"/>
    <x v="1"/>
    <n v="3.49"/>
    <x v="273"/>
    <x v="0"/>
    <n v="974.78"/>
    <n v="584.86800000000005"/>
    <n v="7.99"/>
    <n v="737"/>
    <x v="6"/>
    <n v="44928"/>
  </r>
  <r>
    <n v="466"/>
    <n v="1905"/>
    <x v="0"/>
    <x v="274"/>
    <x v="197"/>
    <s v="eng"/>
    <x v="0"/>
    <n v="4.0599999999999996"/>
    <x v="274"/>
    <x v="2"/>
    <n v="648.09"/>
    <n v="388.85399999999998"/>
    <n v="3.79"/>
    <n v="517"/>
    <x v="7"/>
    <n v="4617"/>
  </r>
  <r>
    <n v="387"/>
    <n v="2002"/>
    <x v="1"/>
    <x v="275"/>
    <x v="198"/>
    <s v="eng"/>
    <x v="2"/>
    <n v="3.94"/>
    <x v="275"/>
    <x v="1"/>
    <n v="642.85"/>
    <n v="385.71"/>
    <n v="2.99"/>
    <n v="420"/>
    <x v="0"/>
    <n v="5805"/>
  </r>
  <r>
    <n v="606"/>
    <n v="2003"/>
    <x v="1"/>
    <x v="276"/>
    <x v="198"/>
    <s v="eng"/>
    <x v="0"/>
    <n v="4.04"/>
    <x v="276"/>
    <x v="2"/>
    <n v="394.68"/>
    <n v="0"/>
    <n v="2.99"/>
    <n v="692"/>
    <x v="0"/>
    <n v="51192"/>
  </r>
  <r>
    <n v="641"/>
    <n v="2005"/>
    <x v="1"/>
    <x v="277"/>
    <x v="198"/>
    <s v="eng"/>
    <x v="0"/>
    <n v="4.04"/>
    <x v="277"/>
    <x v="0"/>
    <n v="121.77"/>
    <n v="73.061999999999998"/>
    <n v="0.99"/>
    <n v="733"/>
    <x v="0"/>
    <n v="45360"/>
  </r>
  <r>
    <n v="866"/>
    <n v="2006"/>
    <x v="1"/>
    <x v="278"/>
    <x v="198"/>
    <s v="en-US"/>
    <x v="0"/>
    <n v="4.01"/>
    <x v="278"/>
    <x v="1"/>
    <n v="282.5"/>
    <n v="169.5"/>
    <n v="2.5"/>
    <n v="1012"/>
    <x v="0"/>
    <n v="2862"/>
  </r>
  <r>
    <n v="633"/>
    <n v="2012"/>
    <x v="1"/>
    <x v="279"/>
    <x v="199"/>
    <s v="eng"/>
    <x v="2"/>
    <n v="3.95"/>
    <x v="279"/>
    <x v="0"/>
    <n v="125.73"/>
    <n v="75.438000000000002"/>
    <n v="0.99"/>
    <n v="716"/>
    <x v="0"/>
    <n v="46872"/>
  </r>
  <r>
    <n v="884"/>
    <n v="2011"/>
    <x v="1"/>
    <x v="280"/>
    <x v="200"/>
    <s v="en-US"/>
    <x v="0"/>
    <n v="4.04"/>
    <x v="280"/>
    <x v="0"/>
    <n v="110.88"/>
    <n v="66.528000000000006"/>
    <n v="0.99"/>
    <n v="1036"/>
    <x v="0"/>
    <n v="4440"/>
  </r>
  <r>
    <n v="240"/>
    <n v="2011"/>
    <x v="1"/>
    <x v="281"/>
    <x v="201"/>
    <s v="eng"/>
    <x v="2"/>
    <n v="3.81"/>
    <x v="281"/>
    <x v="0"/>
    <n v="392.04"/>
    <n v="235.22399999999999"/>
    <n v="0.99"/>
    <n v="262"/>
    <x v="0"/>
    <n v="396"/>
  </r>
  <r>
    <n v="795"/>
    <n v="2015"/>
    <x v="1"/>
    <x v="282"/>
    <x v="201"/>
    <s v="eng"/>
    <x v="0"/>
    <n v="4.07"/>
    <x v="282"/>
    <x v="0"/>
    <n v="930.35"/>
    <n v="558.21"/>
    <n v="8.09"/>
    <n v="921"/>
    <x v="2"/>
    <n v="2916"/>
  </r>
  <r>
    <n v="500"/>
    <n v="1964"/>
    <x v="0"/>
    <x v="283"/>
    <x v="202"/>
    <s v="eng"/>
    <x v="0"/>
    <n v="4.04"/>
    <x v="283"/>
    <x v="0"/>
    <n v="813.37"/>
    <n v="488.02199999999999"/>
    <n v="4.99"/>
    <n v="551"/>
    <x v="2"/>
    <n v="4401"/>
  </r>
  <r>
    <n v="947"/>
    <n v="1938"/>
    <x v="0"/>
    <x v="284"/>
    <x v="203"/>
    <s v="eng"/>
    <x v="0"/>
    <n v="4.12"/>
    <x v="284"/>
    <x v="0"/>
    <n v="548.9"/>
    <n v="329.34"/>
    <n v="4.99"/>
    <n v="1118"/>
    <x v="0"/>
    <n v="4280"/>
  </r>
  <r>
    <n v="862"/>
    <n v="1945"/>
    <x v="0"/>
    <x v="285"/>
    <x v="204"/>
    <s v="eng"/>
    <x v="2"/>
    <n v="3.99"/>
    <x v="285"/>
    <x v="1"/>
    <n v="224.87"/>
    <n v="134.922"/>
    <n v="1.99"/>
    <n v="1008"/>
    <x v="0"/>
    <n v="2862"/>
  </r>
  <r>
    <n v="735"/>
    <n v="1962"/>
    <x v="0"/>
    <x v="286"/>
    <x v="205"/>
    <s v="eng"/>
    <x v="0"/>
    <n v="4.13"/>
    <x v="286"/>
    <x v="0"/>
    <n v="1170"/>
    <n v="702"/>
    <n v="10"/>
    <n v="843"/>
    <x v="0"/>
    <n v="32832"/>
  </r>
  <r>
    <n v="653"/>
    <n v="1933"/>
    <x v="0"/>
    <x v="287"/>
    <x v="206"/>
    <s v="en-US"/>
    <x v="2"/>
    <n v="3.83"/>
    <x v="287"/>
    <x v="0"/>
    <n v="118.8"/>
    <n v="71.28"/>
    <n v="0.99"/>
    <n v="750"/>
    <x v="0"/>
    <n v="42120"/>
  </r>
  <r>
    <n v="851"/>
    <n v="1989"/>
    <x v="0"/>
    <x v="288"/>
    <x v="207"/>
    <s v="en-GB"/>
    <x v="0"/>
    <n v="4.17"/>
    <x v="288"/>
    <x v="0"/>
    <n v="111.87"/>
    <n v="0"/>
    <n v="0.99"/>
    <n v="996"/>
    <x v="0"/>
    <n v="2862"/>
  </r>
  <r>
    <n v="703"/>
    <n v="1973"/>
    <x v="0"/>
    <x v="289"/>
    <x v="208"/>
    <s v="en-US"/>
    <x v="2"/>
    <n v="3.99"/>
    <x v="289"/>
    <x v="1"/>
    <n v="502.68"/>
    <n v="301.608"/>
    <n v="4.26"/>
    <n v="809"/>
    <x v="4"/>
    <n v="35640"/>
  </r>
  <r>
    <n v="9"/>
    <n v="1905"/>
    <x v="0"/>
    <x v="290"/>
    <x v="209"/>
    <s v="eng"/>
    <x v="2"/>
    <n v="4.2"/>
    <x v="290"/>
    <x v="0"/>
    <n v="23792.34"/>
    <n v="14275.404"/>
    <n v="6.49"/>
    <n v="10"/>
    <x v="6"/>
    <n v="3666"/>
  </r>
  <r>
    <n v="266"/>
    <n v="2008"/>
    <x v="1"/>
    <x v="291"/>
    <x v="210"/>
    <s v="eng"/>
    <x v="2"/>
    <n v="4.1500000000000004"/>
    <x v="291"/>
    <x v="0"/>
    <n v="1064.44"/>
    <n v="638.66399999999999"/>
    <n v="2.99"/>
    <n v="286"/>
    <x v="3"/>
    <n v="356"/>
  </r>
  <r>
    <n v="687"/>
    <n v="1986"/>
    <x v="0"/>
    <x v="292"/>
    <x v="211"/>
    <s v="eng"/>
    <x v="0"/>
    <n v="4.24"/>
    <x v="292"/>
    <x v="0"/>
    <n v="352.82"/>
    <n v="0"/>
    <n v="2.99"/>
    <n v="791"/>
    <x v="0"/>
    <n v="36504"/>
  </r>
  <r>
    <n v="574"/>
    <n v="1969"/>
    <x v="0"/>
    <x v="293"/>
    <x v="212"/>
    <s v="eng"/>
    <x v="2"/>
    <n v="3.86"/>
    <x v="293"/>
    <x v="0"/>
    <n v="570.57000000000005"/>
    <n v="0"/>
    <n v="3.99"/>
    <n v="641"/>
    <x v="0"/>
    <n v="3861"/>
  </r>
  <r>
    <n v="731"/>
    <n v="1976"/>
    <x v="0"/>
    <x v="294"/>
    <x v="212"/>
    <s v="eng"/>
    <x v="2"/>
    <n v="3.9"/>
    <x v="294"/>
    <x v="0"/>
    <n v="115.83"/>
    <n v="0"/>
    <n v="0.99"/>
    <n v="838"/>
    <x v="0"/>
    <n v="33264"/>
  </r>
  <r>
    <n v="1"/>
    <n v="1987"/>
    <x v="0"/>
    <x v="295"/>
    <x v="213"/>
    <s v="eng"/>
    <x v="2"/>
    <n v="4.2300000000000004"/>
    <x v="295"/>
    <x v="0"/>
    <n v="12437.5"/>
    <n v="7462.5"/>
    <n v="1.99"/>
    <n v="2"/>
    <x v="8"/>
    <n v="6250"/>
  </r>
  <r>
    <n v="37"/>
    <n v="1986"/>
    <x v="0"/>
    <x v="296"/>
    <x v="214"/>
    <s v="eng"/>
    <x v="2"/>
    <n v="4.25"/>
    <x v="296"/>
    <x v="0"/>
    <n v="1949.31"/>
    <n v="0"/>
    <n v="0.99"/>
    <n v="37"/>
    <x v="0"/>
    <n v="1969"/>
  </r>
  <r>
    <n v="964"/>
    <n v="2005"/>
    <x v="1"/>
    <x v="297"/>
    <x v="215"/>
    <m/>
    <x v="0"/>
    <n v="4.01"/>
    <x v="297"/>
    <x v="1"/>
    <n v="107.91"/>
    <n v="0"/>
    <n v="0.99"/>
    <n v="1138"/>
    <x v="0"/>
    <n v="4280"/>
  </r>
  <r>
    <n v="83"/>
    <n v="1925"/>
    <x v="0"/>
    <x v="298"/>
    <x v="216"/>
    <s v="eng"/>
    <x v="2"/>
    <n v="3.98"/>
    <x v="298"/>
    <x v="0"/>
    <n v="1202.8499999999999"/>
    <n v="0"/>
    <n v="0.99"/>
    <n v="86"/>
    <x v="0"/>
    <n v="1215"/>
  </r>
  <r>
    <n v="962"/>
    <n v="1956"/>
    <x v="0"/>
    <x v="299"/>
    <x v="217"/>
    <s v="en-US"/>
    <x v="0"/>
    <n v="4.0599999999999996"/>
    <x v="299"/>
    <x v="0"/>
    <n v="1502.02"/>
    <n v="901.21199999999999"/>
    <n v="13.78"/>
    <n v="1136"/>
    <x v="3"/>
    <n v="4280"/>
  </r>
  <r>
    <n v="458"/>
    <n v="1971"/>
    <x v="0"/>
    <x v="300"/>
    <x v="218"/>
    <s v="eng"/>
    <x v="0"/>
    <n v="4.25"/>
    <x v="300"/>
    <x v="0"/>
    <n v="171.27"/>
    <n v="0"/>
    <n v="0.99"/>
    <n v="508"/>
    <x v="0"/>
    <n v="4671"/>
  </r>
  <r>
    <n v="582"/>
    <n v="1883"/>
    <x v="2"/>
    <x v="301"/>
    <x v="219"/>
    <s v="eng"/>
    <x v="0"/>
    <n v="4.05"/>
    <x v="301"/>
    <x v="0"/>
    <n v="1030.71"/>
    <n v="618.42600000000004"/>
    <n v="7.31"/>
    <n v="652"/>
    <x v="2"/>
    <n v="59400"/>
  </r>
  <r>
    <n v="833"/>
    <n v="1864"/>
    <x v="2"/>
    <x v="302"/>
    <x v="220"/>
    <s v="eng"/>
    <x v="0"/>
    <n v="4.17"/>
    <x v="302"/>
    <x v="0"/>
    <n v="910.86"/>
    <n v="546.51599999999996"/>
    <n v="7.99"/>
    <n v="971"/>
    <x v="6"/>
    <n v="2889"/>
  </r>
  <r>
    <n v="510"/>
    <n v="1868"/>
    <x v="2"/>
    <x v="303"/>
    <x v="221"/>
    <s v="eng"/>
    <x v="0"/>
    <n v="4.18"/>
    <x v="303"/>
    <x v="2"/>
    <n v="1438.4"/>
    <n v="863.04"/>
    <n v="8.99"/>
    <n v="565"/>
    <x v="2"/>
    <n v="4320"/>
  </r>
  <r>
    <n v="708"/>
    <n v="1981"/>
    <x v="0"/>
    <x v="304"/>
    <x v="222"/>
    <s v="eng"/>
    <x v="2"/>
    <n v="3.95"/>
    <x v="304"/>
    <x v="0"/>
    <n v="1128.08"/>
    <n v="676.84799999999996"/>
    <n v="9.56"/>
    <n v="813"/>
    <x v="1"/>
    <n v="35208"/>
  </r>
  <r>
    <n v="147"/>
    <n v="2014"/>
    <x v="1"/>
    <x v="305"/>
    <x v="223"/>
    <s v="eng"/>
    <x v="2"/>
    <n v="3.98"/>
    <x v="305"/>
    <x v="0"/>
    <n v="5444.75"/>
    <n v="3266.85"/>
    <n v="7.51"/>
    <n v="155"/>
    <x v="6"/>
    <n v="725"/>
  </r>
  <r>
    <n v="216"/>
    <n v="1995"/>
    <x v="0"/>
    <x v="306"/>
    <x v="224"/>
    <s v="en-US"/>
    <x v="2"/>
    <n v="4.17"/>
    <x v="306"/>
    <x v="0"/>
    <n v="8811.18"/>
    <n v="5286.7079999999996"/>
    <n v="19.98"/>
    <n v="235"/>
    <x v="6"/>
    <n v="441"/>
  </r>
  <r>
    <n v="728"/>
    <n v="2003"/>
    <x v="1"/>
    <x v="307"/>
    <x v="224"/>
    <s v="en-US"/>
    <x v="0"/>
    <n v="4.29"/>
    <x v="307"/>
    <x v="1"/>
    <n v="1519.83"/>
    <n v="911.89800000000002"/>
    <n v="12.99"/>
    <n v="836"/>
    <x v="0"/>
    <n v="33696"/>
  </r>
  <r>
    <n v="819"/>
    <n v="2001"/>
    <x v="1"/>
    <x v="308"/>
    <x v="224"/>
    <s v="en-US"/>
    <x v="0"/>
    <n v="4.29"/>
    <x v="308"/>
    <x v="0"/>
    <n v="876.66"/>
    <n v="525.99599999999998"/>
    <n v="7.69"/>
    <n v="957"/>
    <x v="2"/>
    <n v="2889"/>
  </r>
  <r>
    <n v="120"/>
    <n v="1909"/>
    <x v="0"/>
    <x v="309"/>
    <x v="225"/>
    <s v="eng"/>
    <x v="2"/>
    <n v="3.97"/>
    <x v="309"/>
    <x v="0"/>
    <n v="3531.15"/>
    <n v="0"/>
    <n v="3.99"/>
    <n v="123"/>
    <x v="0"/>
    <n v="885"/>
  </r>
  <r>
    <n v="115"/>
    <n v="1390"/>
    <x v="2"/>
    <x v="310"/>
    <x v="226"/>
    <s v="eng"/>
    <x v="1"/>
    <n v="3.48"/>
    <x v="310"/>
    <x v="0"/>
    <n v="891"/>
    <n v="0"/>
    <n v="0.99"/>
    <n v="120"/>
    <x v="0"/>
    <n v="900"/>
  </r>
  <r>
    <n v="923"/>
    <n v="1912"/>
    <x v="0"/>
    <x v="311"/>
    <x v="227"/>
    <s v="en-US"/>
    <x v="2"/>
    <n v="3.9"/>
    <x v="311"/>
    <x v="0"/>
    <n v="331.89"/>
    <n v="0"/>
    <n v="2.99"/>
    <n v="1082"/>
    <x v="0"/>
    <n v="4360"/>
  </r>
  <r>
    <n v="430"/>
    <n v="1871"/>
    <x v="2"/>
    <x v="312"/>
    <x v="228"/>
    <s v="eng"/>
    <x v="2"/>
    <n v="3.93"/>
    <x v="312"/>
    <x v="1"/>
    <n v="186.12"/>
    <n v="0"/>
    <n v="0.99"/>
    <n v="474"/>
    <x v="0"/>
    <n v="5076"/>
  </r>
  <r>
    <n v="315"/>
    <n v="1950"/>
    <x v="0"/>
    <x v="313"/>
    <x v="229"/>
    <s v="eng"/>
    <x v="0"/>
    <n v="4.26"/>
    <x v="313"/>
    <x v="0"/>
    <n v="267.3"/>
    <n v="0"/>
    <n v="0.99"/>
    <n v="338"/>
    <x v="0"/>
    <n v="270"/>
  </r>
  <r>
    <n v="965"/>
    <n v="2000"/>
    <x v="1"/>
    <x v="314"/>
    <x v="230"/>
    <s v="eng"/>
    <x v="3"/>
    <n v="4.5599999999999996"/>
    <x v="314"/>
    <x v="0"/>
    <n v="325.91000000000003"/>
    <n v="0"/>
    <n v="2.99"/>
    <n v="1140"/>
    <x v="0"/>
    <n v="4280"/>
  </r>
  <r>
    <n v="370"/>
    <n v="2001"/>
    <x v="1"/>
    <x v="315"/>
    <x v="231"/>
    <s v="eng"/>
    <x v="2"/>
    <n v="4"/>
    <x v="315"/>
    <x v="0"/>
    <n v="221.76"/>
    <n v="0"/>
    <n v="0.99"/>
    <n v="401"/>
    <x v="0"/>
    <n v="6048"/>
  </r>
  <r>
    <n v="480"/>
    <n v="2008"/>
    <x v="1"/>
    <x v="316"/>
    <x v="231"/>
    <s v="eng"/>
    <x v="2"/>
    <n v="4"/>
    <x v="316"/>
    <x v="0"/>
    <n v="1291.92"/>
    <n v="775.15200000000004"/>
    <n v="7.69"/>
    <n v="531"/>
    <x v="2"/>
    <n v="4536"/>
  </r>
  <r>
    <n v="774"/>
    <n v="1942"/>
    <x v="0"/>
    <x v="317"/>
    <x v="232"/>
    <s v="en-US"/>
    <x v="0"/>
    <n v="4.09"/>
    <x v="317"/>
    <x v="0"/>
    <n v="1506.84"/>
    <n v="904.10400000000004"/>
    <n v="12.99"/>
    <n v="894"/>
    <x v="1"/>
    <n v="28944"/>
  </r>
  <r>
    <n v="911"/>
    <n v="2014"/>
    <x v="1"/>
    <x v="318"/>
    <x v="233"/>
    <s v="eng"/>
    <x v="2"/>
    <n v="3.56"/>
    <x v="318"/>
    <x v="0"/>
    <n v="1225.44"/>
    <n v="735.26400000000001"/>
    <n v="11.04"/>
    <n v="1068"/>
    <x v="3"/>
    <n v="4360"/>
  </r>
  <r>
    <n v="192"/>
    <n v="2003"/>
    <x v="1"/>
    <x v="319"/>
    <x v="234"/>
    <s v="eng"/>
    <x v="2"/>
    <n v="4.26"/>
    <x v="319"/>
    <x v="0"/>
    <n v="476.19"/>
    <n v="0"/>
    <n v="0.99"/>
    <n v="211"/>
    <x v="0"/>
    <n v="481"/>
  </r>
  <r>
    <n v="442"/>
    <n v="2009"/>
    <x v="1"/>
    <x v="320"/>
    <x v="235"/>
    <s v="eng"/>
    <x v="2"/>
    <n v="3.57"/>
    <x v="320"/>
    <x v="0"/>
    <n v="177.21"/>
    <n v="106.32599999999999"/>
    <n v="0.99"/>
    <n v="491"/>
    <x v="0"/>
    <n v="4833"/>
  </r>
  <r>
    <n v="960"/>
    <n v="2009"/>
    <x v="1"/>
    <x v="321"/>
    <x v="236"/>
    <s v="en-US"/>
    <x v="2"/>
    <n v="3.77"/>
    <x v="321"/>
    <x v="0"/>
    <n v="107.91"/>
    <n v="64.745999999999995"/>
    <n v="0.99"/>
    <n v="1132"/>
    <x v="0"/>
    <n v="4280"/>
  </r>
  <r>
    <n v="29"/>
    <n v="1856"/>
    <x v="2"/>
    <x v="322"/>
    <x v="237"/>
    <s v="eng"/>
    <x v="2"/>
    <n v="3.64"/>
    <x v="322"/>
    <x v="0"/>
    <n v="9308.67"/>
    <n v="0"/>
    <n v="3.99"/>
    <n v="30"/>
    <x v="0"/>
    <n v="2333"/>
  </r>
  <r>
    <n v="345"/>
    <n v="1941"/>
    <x v="0"/>
    <x v="323"/>
    <x v="238"/>
    <s v="en-CA"/>
    <x v="0"/>
    <n v="4.13"/>
    <x v="323"/>
    <x v="0"/>
    <n v="236.61"/>
    <n v="141.96600000000001"/>
    <n v="0.99"/>
    <n v="371"/>
    <x v="0"/>
    <n v="239"/>
  </r>
  <r>
    <n v="673"/>
    <n v="1897"/>
    <x v="2"/>
    <x v="324"/>
    <x v="239"/>
    <s v="eng"/>
    <x v="2"/>
    <n v="3.62"/>
    <x v="324"/>
    <x v="0"/>
    <n v="117.81"/>
    <n v="70.686000000000007"/>
    <n v="0.99"/>
    <n v="772"/>
    <x v="3"/>
    <n v="38016"/>
  </r>
  <r>
    <n v="1024"/>
    <n v="1896"/>
    <x v="2"/>
    <x v="325"/>
    <x v="239"/>
    <s v="eng"/>
    <x v="2"/>
    <n v="3.72"/>
    <x v="325"/>
    <x v="0"/>
    <n v="640.92999999999995"/>
    <n v="0"/>
    <n v="5.99"/>
    <n v="1212"/>
    <x v="0"/>
    <n v="107"/>
  </r>
  <r>
    <n v="16"/>
    <n v="1897"/>
    <x v="2"/>
    <x v="326"/>
    <x v="240"/>
    <s v="eng"/>
    <x v="2"/>
    <n v="3.8"/>
    <x v="326"/>
    <x v="0"/>
    <n v="15968"/>
    <n v="0"/>
    <n v="4.99"/>
    <n v="17"/>
    <x v="0"/>
    <n v="3200"/>
  </r>
  <r>
    <n v="652"/>
    <n v="2010"/>
    <x v="1"/>
    <x v="327"/>
    <x v="241"/>
    <s v="eng"/>
    <x v="3"/>
    <n v="4.42"/>
    <x v="327"/>
    <x v="0"/>
    <n v="118.8"/>
    <n v="71.28"/>
    <n v="0.99"/>
    <n v="748"/>
    <x v="0"/>
    <n v="42552"/>
  </r>
  <r>
    <n v="577"/>
    <n v="1835"/>
    <x v="2"/>
    <x v="328"/>
    <x v="242"/>
    <s v="eng"/>
    <x v="0"/>
    <n v="4.28"/>
    <x v="328"/>
    <x v="0"/>
    <n v="708.58"/>
    <n v="0"/>
    <n v="4.99"/>
    <n v="646"/>
    <x v="0"/>
    <n v="3834"/>
  </r>
  <r>
    <n v="667"/>
    <n v="2015"/>
    <x v="1"/>
    <x v="329"/>
    <x v="243"/>
    <s v="eng"/>
    <x v="0"/>
    <n v="4.2699999999999996"/>
    <x v="329"/>
    <x v="0"/>
    <n v="355.81"/>
    <n v="213.48599999999999"/>
    <n v="2.99"/>
    <n v="766"/>
    <x v="0"/>
    <n v="38664"/>
  </r>
  <r>
    <n v="607"/>
    <n v="2001"/>
    <x v="1"/>
    <x v="330"/>
    <x v="244"/>
    <s v="eng"/>
    <x v="0"/>
    <n v="4.1100000000000003"/>
    <x v="330"/>
    <x v="0"/>
    <n v="394.68"/>
    <n v="236.80799999999999"/>
    <n v="2.99"/>
    <n v="693"/>
    <x v="0"/>
    <n v="50976"/>
  </r>
  <r>
    <n v="2"/>
    <n v="2015"/>
    <x v="1"/>
    <x v="331"/>
    <x v="245"/>
    <s v="eng"/>
    <x v="1"/>
    <n v="3.31"/>
    <x v="331"/>
    <x v="0"/>
    <n v="47795"/>
    <n v="28677"/>
    <n v="8.69"/>
    <n v="3"/>
    <x v="0"/>
    <n v="5500"/>
  </r>
  <r>
    <n v="119"/>
    <n v="1852"/>
    <x v="2"/>
    <x v="332"/>
    <x v="246"/>
    <s v="eng"/>
    <x v="2"/>
    <n v="3.83"/>
    <x v="332"/>
    <x v="2"/>
    <n v="1771.1"/>
    <n v="1062.6600000000001"/>
    <n v="1.99"/>
    <n v="122"/>
    <x v="8"/>
    <n v="890"/>
  </r>
  <r>
    <n v="756"/>
    <n v="1977"/>
    <x v="0"/>
    <x v="333"/>
    <x v="247"/>
    <s v="eng"/>
    <x v="0"/>
    <n v="4.26"/>
    <x v="333"/>
    <x v="0"/>
    <n v="1158.8399999999999"/>
    <n v="695.30399999999997"/>
    <n v="9.99"/>
    <n v="871"/>
    <x v="2"/>
    <n v="31320"/>
  </r>
  <r>
    <n v="674"/>
    <n v="1985"/>
    <x v="0"/>
    <x v="334"/>
    <x v="248"/>
    <s v="eng"/>
    <x v="0"/>
    <n v="4.1500000000000004"/>
    <x v="334"/>
    <x v="0"/>
    <n v="117.81"/>
    <n v="70.686000000000007"/>
    <n v="0.99"/>
    <n v="773"/>
    <x v="0"/>
    <n v="38016"/>
  </r>
  <r>
    <n v="969"/>
    <n v="1982"/>
    <x v="0"/>
    <x v="335"/>
    <x v="248"/>
    <s v="eng"/>
    <x v="2"/>
    <n v="3.94"/>
    <x v="335"/>
    <x v="1"/>
    <n v="960.29"/>
    <n v="576.17399999999998"/>
    <n v="8.81"/>
    <n v="1147"/>
    <x v="1"/>
    <n v="4240"/>
  </r>
  <r>
    <n v="751"/>
    <n v="2004"/>
    <x v="1"/>
    <x v="336"/>
    <x v="249"/>
    <s v="eng"/>
    <x v="2"/>
    <n v="3.68"/>
    <x v="336"/>
    <x v="0"/>
    <n v="694.84"/>
    <n v="0"/>
    <n v="5.99"/>
    <n v="866"/>
    <x v="0"/>
    <n v="31536"/>
  </r>
  <r>
    <n v="118"/>
    <n v="2009"/>
    <x v="1"/>
    <x v="337"/>
    <x v="250"/>
    <s v="eng"/>
    <x v="2"/>
    <n v="3.89"/>
    <x v="337"/>
    <x v="0"/>
    <n v="2661.1"/>
    <n v="0"/>
    <n v="2.99"/>
    <n v="122"/>
    <x v="0"/>
    <n v="890"/>
  </r>
  <r>
    <n v="551"/>
    <n v="2013"/>
    <x v="1"/>
    <x v="338"/>
    <x v="251"/>
    <s v="eng"/>
    <x v="2"/>
    <n v="3.82"/>
    <x v="338"/>
    <x v="2"/>
    <n v="594.51"/>
    <n v="0"/>
    <n v="3.99"/>
    <n v="616"/>
    <x v="0"/>
    <n v="4023"/>
  </r>
  <r>
    <n v="739"/>
    <n v="1999"/>
    <x v="0"/>
    <x v="339"/>
    <x v="251"/>
    <s v="eng"/>
    <x v="2"/>
    <n v="3.82"/>
    <x v="339"/>
    <x v="0"/>
    <n v="1084.5899999999999"/>
    <n v="650.75400000000002"/>
    <n v="9.27"/>
    <n v="846"/>
    <x v="2"/>
    <n v="32616"/>
  </r>
  <r>
    <n v="926"/>
    <n v="1999"/>
    <x v="0"/>
    <x v="340"/>
    <x v="252"/>
    <s v="eng"/>
    <x v="2"/>
    <n v="3.53"/>
    <x v="340"/>
    <x v="1"/>
    <n v="1098.9000000000001"/>
    <n v="659.34"/>
    <n v="9.99"/>
    <n v="1090"/>
    <x v="0"/>
    <n v="4360"/>
  </r>
  <r>
    <n v="269"/>
    <n v="1902"/>
    <x v="0"/>
    <x v="341"/>
    <x v="253"/>
    <s v="eng"/>
    <x v="2"/>
    <n v="4.07"/>
    <x v="341"/>
    <x v="1"/>
    <n v="347.49"/>
    <n v="208.494"/>
    <n v="0.99"/>
    <n v="289"/>
    <x v="0"/>
    <n v="351"/>
  </r>
  <r>
    <n v="375"/>
    <n v="2010"/>
    <x v="1"/>
    <x v="342"/>
    <x v="254"/>
    <s v="eng"/>
    <x v="2"/>
    <n v="3.87"/>
    <x v="342"/>
    <x v="0"/>
    <n v="660.79"/>
    <n v="396.47399999999999"/>
    <n v="2.99"/>
    <n v="408"/>
    <x v="1"/>
    <n v="5967"/>
  </r>
  <r>
    <n v="943"/>
    <n v="2013"/>
    <x v="1"/>
    <x v="343"/>
    <x v="255"/>
    <s v="eng"/>
    <x v="0"/>
    <n v="4.0999999999999996"/>
    <x v="343"/>
    <x v="0"/>
    <n v="438.9"/>
    <n v="0"/>
    <n v="3.99"/>
    <n v="1107"/>
    <x v="0"/>
    <n v="4320"/>
  </r>
  <r>
    <n v="1049"/>
    <n v="1879"/>
    <x v="2"/>
    <x v="344"/>
    <x v="256"/>
    <s v="eng"/>
    <x v="2"/>
    <n v="3.69"/>
    <x v="344"/>
    <x v="0"/>
    <n v="1588.94"/>
    <n v="953.36400000000003"/>
    <n v="14.99"/>
    <n v="1243"/>
    <x v="7"/>
    <n v="106"/>
  </r>
  <r>
    <n v="288"/>
    <n v="1854"/>
    <x v="2"/>
    <x v="345"/>
    <x v="257"/>
    <s v="eng"/>
    <x v="2"/>
    <n v="3.79"/>
    <x v="345"/>
    <x v="1"/>
    <n v="2044.35"/>
    <n v="1226.6099999999999"/>
    <n v="6.49"/>
    <n v="311"/>
    <x v="6"/>
    <n v="315"/>
  </r>
  <r>
    <n v="470"/>
    <n v="2009"/>
    <x v="1"/>
    <x v="346"/>
    <x v="258"/>
    <s v="eng"/>
    <x v="1"/>
    <n v="3.22"/>
    <x v="346"/>
    <x v="0"/>
    <n v="848.3"/>
    <n v="0"/>
    <n v="4.99"/>
    <n v="520"/>
    <x v="0"/>
    <n v="4590"/>
  </r>
  <r>
    <n v="484"/>
    <n v="1927"/>
    <x v="0"/>
    <x v="347"/>
    <x v="259"/>
    <s v="eng"/>
    <x v="0"/>
    <n v="4.1100000000000003"/>
    <x v="347"/>
    <x v="2"/>
    <n v="833.33"/>
    <n v="499.99799999999999"/>
    <n v="4.99"/>
    <n v="535"/>
    <x v="0"/>
    <n v="4509"/>
  </r>
  <r>
    <n v="285"/>
    <n v="2009"/>
    <x v="1"/>
    <x v="348"/>
    <x v="260"/>
    <s v="eng"/>
    <x v="2"/>
    <n v="3.85"/>
    <x v="348"/>
    <x v="0"/>
    <n v="2468.4899999999998"/>
    <n v="1481.0940000000001"/>
    <n v="7.69"/>
    <n v="307"/>
    <x v="2"/>
    <n v="321"/>
  </r>
  <r>
    <n v="979"/>
    <n v="2006"/>
    <x v="1"/>
    <x v="349"/>
    <x v="261"/>
    <s v="eng"/>
    <x v="3"/>
    <n v="4.4000000000000004"/>
    <x v="349"/>
    <x v="0"/>
    <n v="434.91"/>
    <n v="0"/>
    <n v="3.99"/>
    <n v="1155"/>
    <x v="0"/>
    <n v="4240"/>
  </r>
  <r>
    <n v="362"/>
    <n v="2002"/>
    <x v="1"/>
    <x v="350"/>
    <x v="262"/>
    <s v="eng"/>
    <x v="3"/>
    <n v="4.49"/>
    <x v="350"/>
    <x v="0"/>
    <n v="226.71"/>
    <n v="0"/>
    <n v="0.99"/>
    <n v="391"/>
    <x v="0"/>
    <n v="6183"/>
  </r>
  <r>
    <n v="132"/>
    <n v="1980"/>
    <x v="0"/>
    <x v="351"/>
    <x v="263"/>
    <s v="eng"/>
    <x v="2"/>
    <n v="4.07"/>
    <x v="351"/>
    <x v="0"/>
    <n v="3192"/>
    <n v="0"/>
    <n v="3.99"/>
    <n v="140"/>
    <x v="0"/>
    <n v="800"/>
  </r>
  <r>
    <n v="211"/>
    <n v="2012"/>
    <x v="1"/>
    <x v="352"/>
    <x v="264"/>
    <s v="eng"/>
    <x v="2"/>
    <n v="4.24"/>
    <x v="352"/>
    <x v="0"/>
    <n v="2250.4899999999998"/>
    <n v="1350.2940000000001"/>
    <n v="4.99"/>
    <n v="229"/>
    <x v="2"/>
    <n v="451"/>
  </r>
  <r>
    <n v="549"/>
    <n v="2012"/>
    <x v="1"/>
    <x v="353"/>
    <x v="265"/>
    <s v="eng"/>
    <x v="0"/>
    <n v="4.0199999999999996"/>
    <x v="353"/>
    <x v="0"/>
    <n v="594.51"/>
    <n v="356.70600000000002"/>
    <n v="3.99"/>
    <n v="615"/>
    <x v="1"/>
    <n v="4023"/>
  </r>
  <r>
    <n v="716"/>
    <n v="1967"/>
    <x v="0"/>
    <x v="354"/>
    <x v="266"/>
    <s v="eng"/>
    <x v="2"/>
    <n v="3.96"/>
    <x v="354"/>
    <x v="0"/>
    <n v="588.82000000000005"/>
    <n v="0"/>
    <n v="4.99"/>
    <n v="823"/>
    <x v="0"/>
    <n v="34776"/>
  </r>
  <r>
    <n v="382"/>
    <n v="1931"/>
    <x v="0"/>
    <x v="355"/>
    <x v="267"/>
    <m/>
    <x v="0"/>
    <n v="4.1399999999999997"/>
    <x v="355"/>
    <x v="2"/>
    <n v="1864.03"/>
    <n v="1118.4179999999999"/>
    <n v="8.59"/>
    <n v="415"/>
    <x v="7"/>
    <n v="5859"/>
  </r>
  <r>
    <n v="257"/>
    <n v="1993"/>
    <x v="0"/>
    <x v="356"/>
    <x v="268"/>
    <s v="fre"/>
    <x v="2"/>
    <n v="4.07"/>
    <x v="356"/>
    <x v="0"/>
    <n v="1100.32"/>
    <n v="660.19200000000001"/>
    <n v="2.99"/>
    <n v="279"/>
    <x v="6"/>
    <n v="368"/>
  </r>
  <r>
    <n v="935"/>
    <n v="1958"/>
    <x v="0"/>
    <x v="357"/>
    <x v="269"/>
    <s v="eng"/>
    <x v="0"/>
    <n v="4.09"/>
    <x v="357"/>
    <x v="0"/>
    <n v="438.9"/>
    <n v="0"/>
    <n v="3.99"/>
    <n v="1100"/>
    <x v="0"/>
    <n v="4320"/>
  </r>
  <r>
    <n v="258"/>
    <n v="1952"/>
    <x v="0"/>
    <x v="358"/>
    <x v="270"/>
    <s v="eng"/>
    <x v="2"/>
    <n v="4.2"/>
    <x v="358"/>
    <x v="0"/>
    <n v="1094.3399999999999"/>
    <n v="0"/>
    <n v="2.99"/>
    <n v="280"/>
    <x v="0"/>
    <n v="366"/>
  </r>
  <r>
    <n v="692"/>
    <n v="1953"/>
    <x v="0"/>
    <x v="359"/>
    <x v="270"/>
    <s v="eng"/>
    <x v="0"/>
    <n v="4.3899999999999997"/>
    <x v="359"/>
    <x v="2"/>
    <n v="1060.82"/>
    <n v="636.49199999999996"/>
    <n v="8.99"/>
    <n v="797"/>
    <x v="8"/>
    <n v="36504"/>
  </r>
  <r>
    <n v="646"/>
    <n v="2010"/>
    <x v="1"/>
    <x v="360"/>
    <x v="271"/>
    <m/>
    <x v="2"/>
    <n v="3.93"/>
    <x v="360"/>
    <x v="0"/>
    <n v="486.78"/>
    <n v="292.06799999999998"/>
    <n v="3.99"/>
    <n v="740"/>
    <x v="0"/>
    <n v="43848"/>
  </r>
  <r>
    <n v="138"/>
    <n v="1982"/>
    <x v="0"/>
    <x v="361"/>
    <x v="272"/>
    <s v="en-US"/>
    <x v="2"/>
    <n v="4.2"/>
    <x v="361"/>
    <x v="0"/>
    <n v="8269.25"/>
    <n v="4961.55"/>
    <n v="10.67"/>
    <n v="145"/>
    <x v="1"/>
    <n v="775"/>
  </r>
  <r>
    <n v="394"/>
    <n v="1998"/>
    <x v="0"/>
    <x v="362"/>
    <x v="273"/>
    <s v="eng"/>
    <x v="2"/>
    <n v="3.89"/>
    <x v="362"/>
    <x v="0"/>
    <n v="630.89"/>
    <n v="0"/>
    <n v="2.99"/>
    <n v="428"/>
    <x v="0"/>
    <n v="5697"/>
  </r>
  <r>
    <n v="206"/>
    <n v="2007"/>
    <x v="1"/>
    <x v="363"/>
    <x v="274"/>
    <s v="en-US"/>
    <x v="2"/>
    <n v="4.1399999999999997"/>
    <x v="363"/>
    <x v="0"/>
    <n v="3643.44"/>
    <n v="0"/>
    <n v="7.99"/>
    <n v="226"/>
    <x v="0"/>
    <n v="456"/>
  </r>
  <r>
    <n v="634"/>
    <n v="2013"/>
    <x v="1"/>
    <x v="364"/>
    <x v="275"/>
    <s v="eng"/>
    <x v="0"/>
    <n v="4.1900000000000004"/>
    <x v="364"/>
    <x v="0"/>
    <n v="506.73"/>
    <n v="0"/>
    <n v="3.99"/>
    <n v="717"/>
    <x v="0"/>
    <n v="46440"/>
  </r>
  <r>
    <n v="407"/>
    <n v="2012"/>
    <x v="1"/>
    <x v="365"/>
    <x v="276"/>
    <s v="en-US"/>
    <x v="0"/>
    <n v="4.26"/>
    <x v="365"/>
    <x v="0"/>
    <n v="600.99"/>
    <n v="360.59399999999999"/>
    <n v="2.99"/>
    <n v="447"/>
    <x v="1"/>
    <n v="5427"/>
  </r>
  <r>
    <n v="301"/>
    <n v="1995"/>
    <x v="0"/>
    <x v="366"/>
    <x v="277"/>
    <s v="en-US"/>
    <x v="0"/>
    <n v="4.13"/>
    <x v="366"/>
    <x v="0"/>
    <n v="1772.95"/>
    <n v="1063.77"/>
    <n v="6.01"/>
    <n v="323"/>
    <x v="8"/>
    <n v="295"/>
  </r>
  <r>
    <n v="178"/>
    <n v="1953"/>
    <x v="0"/>
    <x v="367"/>
    <x v="278"/>
    <s v="eng"/>
    <x v="2"/>
    <n v="4.1900000000000004"/>
    <x v="367"/>
    <x v="0"/>
    <n v="2154.6"/>
    <n v="0"/>
    <n v="3.99"/>
    <n v="192"/>
    <x v="0"/>
    <n v="540"/>
  </r>
  <r>
    <n v="993"/>
    <n v="2016"/>
    <x v="1"/>
    <x v="368"/>
    <x v="279"/>
    <s v="eng"/>
    <x v="2"/>
    <n v="3.99"/>
    <x v="368"/>
    <x v="0"/>
    <n v="430.92"/>
    <n v="0"/>
    <n v="3.99"/>
    <n v="1169"/>
    <x v="0"/>
    <n v="108"/>
  </r>
  <r>
    <n v="1013"/>
    <n v="1999"/>
    <x v="0"/>
    <x v="369"/>
    <x v="280"/>
    <s v="eng"/>
    <x v="2"/>
    <n v="3.83"/>
    <x v="369"/>
    <x v="2"/>
    <n v="1078.92"/>
    <n v="647.35199999999998"/>
    <n v="9.99"/>
    <n v="1198"/>
    <x v="6"/>
    <n v="108"/>
  </r>
  <r>
    <n v="310"/>
    <n v="2006"/>
    <x v="1"/>
    <x v="370"/>
    <x v="281"/>
    <s v="eng"/>
    <x v="3"/>
    <n v="4.45"/>
    <x v="370"/>
    <x v="0"/>
    <n v="1412.17"/>
    <n v="847.30200000000002"/>
    <n v="4.99"/>
    <n v="330"/>
    <x v="1"/>
    <n v="283"/>
  </r>
  <r>
    <n v="358"/>
    <n v="2006"/>
    <x v="1"/>
    <x v="371"/>
    <x v="281"/>
    <s v="eng"/>
    <x v="0"/>
    <n v="4.3499999999999996"/>
    <x v="371"/>
    <x v="1"/>
    <n v="2460.15"/>
    <n v="1476.09"/>
    <n v="10.65"/>
    <n v="387"/>
    <x v="6"/>
    <n v="6237"/>
  </r>
  <r>
    <n v="760"/>
    <n v="2007"/>
    <x v="1"/>
    <x v="372"/>
    <x v="281"/>
    <s v="eng"/>
    <x v="0"/>
    <n v="4.3"/>
    <x v="372"/>
    <x v="0"/>
    <n v="694.84"/>
    <n v="0"/>
    <n v="5.99"/>
    <n v="879"/>
    <x v="0"/>
    <n v="30888"/>
  </r>
  <r>
    <n v="805"/>
    <n v="2007"/>
    <x v="1"/>
    <x v="373"/>
    <x v="281"/>
    <s v="eng"/>
    <x v="0"/>
    <n v="4.33"/>
    <x v="373"/>
    <x v="2"/>
    <n v="910.86"/>
    <n v="546.51599999999996"/>
    <n v="7.99"/>
    <n v="938"/>
    <x v="0"/>
    <n v="2916"/>
  </r>
  <r>
    <n v="942"/>
    <n v="2008"/>
    <x v="1"/>
    <x v="374"/>
    <x v="281"/>
    <s v="eng"/>
    <x v="0"/>
    <n v="4.12"/>
    <x v="374"/>
    <x v="0"/>
    <n v="988.9"/>
    <n v="593.34"/>
    <n v="8.99"/>
    <n v="1106"/>
    <x v="6"/>
    <n v="4320"/>
  </r>
  <r>
    <n v="952"/>
    <n v="2009"/>
    <x v="1"/>
    <x v="375"/>
    <x v="281"/>
    <s v="eng"/>
    <x v="0"/>
    <n v="4.38"/>
    <x v="375"/>
    <x v="3"/>
    <n v="493.9"/>
    <n v="296.33999999999997"/>
    <n v="4.49"/>
    <n v="1123"/>
    <x v="3"/>
    <n v="4280"/>
  </r>
  <r>
    <n v="982"/>
    <n v="2010"/>
    <x v="1"/>
    <x v="376"/>
    <x v="281"/>
    <s v="eng"/>
    <x v="3"/>
    <n v="4.41"/>
    <x v="376"/>
    <x v="0"/>
    <n v="543.91"/>
    <n v="0"/>
    <n v="4.99"/>
    <n v="1160"/>
    <x v="0"/>
    <n v="109"/>
  </r>
  <r>
    <n v="433"/>
    <n v="1973"/>
    <x v="0"/>
    <x v="377"/>
    <x v="282"/>
    <s v="eng"/>
    <x v="3"/>
    <n v="4.59"/>
    <x v="377"/>
    <x v="0"/>
    <n v="184.14"/>
    <n v="110.48399999999999"/>
    <n v="0.99"/>
    <n v="477"/>
    <x v="0"/>
    <n v="5022"/>
  </r>
  <r>
    <n v="80"/>
    <n v="1977"/>
    <x v="0"/>
    <x v="378"/>
    <x v="283"/>
    <s v="eng"/>
    <x v="2"/>
    <n v="3.87"/>
    <x v="378"/>
    <x v="0"/>
    <n v="6447.08"/>
    <n v="3868.248"/>
    <n v="4.99"/>
    <n v="81"/>
    <x v="6"/>
    <n v="1292"/>
  </r>
  <r>
    <n v="719"/>
    <n v="1958"/>
    <x v="0"/>
    <x v="379"/>
    <x v="284"/>
    <s v="en-US"/>
    <x v="2"/>
    <n v="3.94"/>
    <x v="379"/>
    <x v="3"/>
    <n v="725.7"/>
    <n v="435.42"/>
    <n v="6.15"/>
    <n v="825"/>
    <x v="0"/>
    <n v="34560"/>
  </r>
  <r>
    <n v="404"/>
    <n v="1906"/>
    <x v="0"/>
    <x v="380"/>
    <x v="285"/>
    <s v="eng"/>
    <x v="2"/>
    <n v="3.94"/>
    <x v="380"/>
    <x v="0"/>
    <n v="1703.17"/>
    <n v="1021.902"/>
    <n v="8.39"/>
    <n v="444"/>
    <x v="6"/>
    <n v="5481"/>
  </r>
  <r>
    <n v="261"/>
    <n v="1812"/>
    <x v="2"/>
    <x v="381"/>
    <x v="286"/>
    <s v="eng"/>
    <x v="2"/>
    <n v="4.3099999999999996"/>
    <x v="381"/>
    <x v="0"/>
    <n v="1811.37"/>
    <n v="0"/>
    <n v="4.99"/>
    <n v="282"/>
    <x v="0"/>
    <n v="363"/>
  </r>
  <r>
    <n v="316"/>
    <n v="1996"/>
    <x v="0"/>
    <x v="382"/>
    <x v="287"/>
    <s v="en-US"/>
    <x v="2"/>
    <n v="3.84"/>
    <x v="382"/>
    <x v="0"/>
    <n v="267.3"/>
    <n v="0"/>
    <n v="0.99"/>
    <n v="338"/>
    <x v="0"/>
    <n v="270"/>
  </r>
  <r>
    <n v="1050"/>
    <n v="1959"/>
    <x v="0"/>
    <x v="383"/>
    <x v="288"/>
    <s v="en-GB"/>
    <x v="0"/>
    <n v="4.18"/>
    <x v="383"/>
    <x v="0"/>
    <n v="212"/>
    <n v="0"/>
    <n v="2"/>
    <n v="1243"/>
    <x v="0"/>
    <n v="106"/>
  </r>
  <r>
    <n v="401"/>
    <n v="2001"/>
    <x v="1"/>
    <x v="384"/>
    <x v="289"/>
    <s v="eng"/>
    <x v="0"/>
    <n v="4.04"/>
    <x v="384"/>
    <x v="0"/>
    <n v="1032.93"/>
    <n v="0"/>
    <n v="4.99"/>
    <n v="436"/>
    <x v="0"/>
    <n v="5589"/>
  </r>
  <r>
    <n v="309"/>
    <n v="1975"/>
    <x v="0"/>
    <x v="385"/>
    <x v="290"/>
    <s v="eng"/>
    <x v="0"/>
    <n v="4.37"/>
    <x v="385"/>
    <x v="0"/>
    <n v="2071.56"/>
    <n v="1242.9359999999999"/>
    <n v="7.32"/>
    <n v="330"/>
    <x v="7"/>
    <n v="283"/>
  </r>
  <r>
    <n v="415"/>
    <n v="2012"/>
    <x v="1"/>
    <x v="386"/>
    <x v="291"/>
    <s v="eng"/>
    <x v="2"/>
    <n v="3.69"/>
    <x v="386"/>
    <x v="0"/>
    <n v="1059.8599999999999"/>
    <n v="635.91600000000005"/>
    <n v="5.38"/>
    <n v="455"/>
    <x v="6"/>
    <n v="5319"/>
  </r>
  <r>
    <n v="954"/>
    <n v="1987"/>
    <x v="0"/>
    <x v="387"/>
    <x v="292"/>
    <s v="en-US"/>
    <x v="2"/>
    <n v="3.75"/>
    <x v="387"/>
    <x v="0"/>
    <n v="1088.9100000000001"/>
    <n v="653.346"/>
    <n v="9.99"/>
    <n v="1127"/>
    <x v="6"/>
    <n v="4280"/>
  </r>
  <r>
    <n v="903"/>
    <n v="1826"/>
    <x v="2"/>
    <x v="388"/>
    <x v="293"/>
    <s v="eng"/>
    <x v="2"/>
    <n v="3.69"/>
    <x v="388"/>
    <x v="0"/>
    <n v="109.89"/>
    <n v="0"/>
    <n v="0.99"/>
    <n v="1058"/>
    <x v="0"/>
    <n v="4400"/>
  </r>
  <r>
    <n v="463"/>
    <n v="1972"/>
    <x v="0"/>
    <x v="389"/>
    <x v="294"/>
    <s v="eng"/>
    <x v="0"/>
    <n v="4.3099999999999996"/>
    <x v="389"/>
    <x v="0"/>
    <n v="1024.29"/>
    <n v="0"/>
    <n v="5.99"/>
    <n v="514"/>
    <x v="0"/>
    <n v="4617"/>
  </r>
  <r>
    <n v="683"/>
    <n v="1922"/>
    <x v="0"/>
    <x v="390"/>
    <x v="295"/>
    <s v="eng"/>
    <x v="2"/>
    <n v="3.74"/>
    <x v="390"/>
    <x v="0"/>
    <n v="117.81"/>
    <n v="0"/>
    <n v="0.99"/>
    <n v="786"/>
    <x v="0"/>
    <n v="36936"/>
  </r>
  <r>
    <n v="604"/>
    <n v="1914"/>
    <x v="0"/>
    <x v="391"/>
    <x v="296"/>
    <s v="eng"/>
    <x v="2"/>
    <n v="3.85"/>
    <x v="391"/>
    <x v="2"/>
    <n v="397.67"/>
    <n v="238.602"/>
    <n v="2.99"/>
    <n v="690"/>
    <x v="6"/>
    <n v="51408"/>
  </r>
  <r>
    <n v="428"/>
    <n v="1916"/>
    <x v="0"/>
    <x v="392"/>
    <x v="297"/>
    <s v="eng"/>
    <x v="2"/>
    <n v="3.6"/>
    <x v="392"/>
    <x v="2"/>
    <n v="565.11"/>
    <n v="339.06599999999997"/>
    <n v="2.99"/>
    <n v="472"/>
    <x v="6"/>
    <n v="5103"/>
  </r>
  <r>
    <n v="537"/>
    <n v="1996"/>
    <x v="0"/>
    <x v="393"/>
    <x v="298"/>
    <s v="en-US"/>
    <x v="0"/>
    <n v="4.0599999999999996"/>
    <x v="393"/>
    <x v="0"/>
    <n v="151.47"/>
    <n v="0"/>
    <n v="0.99"/>
    <n v="598"/>
    <x v="0"/>
    <n v="4131"/>
  </r>
  <r>
    <n v="38"/>
    <n v="2005"/>
    <x v="1"/>
    <x v="394"/>
    <x v="299"/>
    <s v="eng"/>
    <x v="2"/>
    <n v="4.08"/>
    <x v="394"/>
    <x v="0"/>
    <n v="1949.31"/>
    <n v="0"/>
    <n v="0.99"/>
    <n v="37"/>
    <x v="0"/>
    <n v="1969"/>
  </r>
  <r>
    <n v="143"/>
    <n v="2001"/>
    <x v="1"/>
    <x v="395"/>
    <x v="299"/>
    <s v="eng"/>
    <x v="2"/>
    <n v="4.16"/>
    <x v="395"/>
    <x v="0"/>
    <n v="3717.55"/>
    <n v="2230.5300000000002"/>
    <n v="4.99"/>
    <n v="151"/>
    <x v="6"/>
    <n v="745"/>
  </r>
  <r>
    <n v="572"/>
    <n v="2001"/>
    <x v="1"/>
    <x v="396"/>
    <x v="299"/>
    <m/>
    <x v="0"/>
    <n v="4.1500000000000004"/>
    <x v="396"/>
    <x v="0"/>
    <n v="868.55"/>
    <n v="521.13"/>
    <n v="5.99"/>
    <n v="636"/>
    <x v="7"/>
    <n v="3915"/>
  </r>
  <r>
    <n v="820"/>
    <n v="2006"/>
    <x v="1"/>
    <x v="397"/>
    <x v="299"/>
    <s v="en-US"/>
    <x v="0"/>
    <n v="4.16"/>
    <x v="397"/>
    <x v="2"/>
    <n v="340.86"/>
    <n v="204.51599999999999"/>
    <n v="2.99"/>
    <n v="958"/>
    <x v="0"/>
    <n v="2889"/>
  </r>
  <r>
    <n v="1004"/>
    <n v="2006"/>
    <x v="1"/>
    <x v="398"/>
    <x v="299"/>
    <s v="en-US"/>
    <x v="0"/>
    <n v="4.16"/>
    <x v="398"/>
    <x v="0"/>
    <n v="748.44"/>
    <n v="449.06400000000002"/>
    <n v="6.93"/>
    <n v="1190"/>
    <x v="7"/>
    <n v="108"/>
  </r>
  <r>
    <n v="848"/>
    <n v="2002"/>
    <x v="1"/>
    <x v="399"/>
    <x v="300"/>
    <s v="eng"/>
    <x v="0"/>
    <n v="4.01"/>
    <x v="399"/>
    <x v="0"/>
    <n v="1388.77"/>
    <n v="833.26199999999994"/>
    <n v="12.29"/>
    <n v="993"/>
    <x v="8"/>
    <n v="2862"/>
  </r>
  <r>
    <n v="729"/>
    <n v="2002"/>
    <x v="1"/>
    <x v="400"/>
    <x v="301"/>
    <s v="eng"/>
    <x v="2"/>
    <n v="3.82"/>
    <x v="400"/>
    <x v="0"/>
    <n v="466.83"/>
    <n v="0"/>
    <n v="3.99"/>
    <n v="837"/>
    <x v="0"/>
    <n v="33480"/>
  </r>
  <r>
    <n v="548"/>
    <n v="1993"/>
    <x v="0"/>
    <x v="401"/>
    <x v="302"/>
    <s v="en-US"/>
    <x v="2"/>
    <n v="3.6"/>
    <x v="401"/>
    <x v="0"/>
    <n v="594.51"/>
    <n v="356.70600000000002"/>
    <n v="3.99"/>
    <n v="615"/>
    <x v="2"/>
    <n v="4023"/>
  </r>
  <r>
    <n v="732"/>
    <n v="2011"/>
    <x v="1"/>
    <x v="402"/>
    <x v="303"/>
    <s v="eng"/>
    <x v="0"/>
    <n v="4.2"/>
    <x v="402"/>
    <x v="1"/>
    <n v="1689.48"/>
    <n v="1013.688"/>
    <n v="14.44"/>
    <n v="840"/>
    <x v="8"/>
    <n v="33048"/>
  </r>
  <r>
    <n v="330"/>
    <n v="2013"/>
    <x v="1"/>
    <x v="403"/>
    <x v="304"/>
    <s v="eng"/>
    <x v="0"/>
    <n v="4.2300000000000004"/>
    <x v="403"/>
    <x v="0"/>
    <n v="3221.52"/>
    <n v="0"/>
    <n v="12.99"/>
    <n v="353"/>
    <x v="0"/>
    <n v="248"/>
  </r>
  <r>
    <n v="419"/>
    <n v="2014"/>
    <x v="1"/>
    <x v="404"/>
    <x v="305"/>
    <s v="eng"/>
    <x v="0"/>
    <n v="4.1399999999999997"/>
    <x v="404"/>
    <x v="0"/>
    <n v="583.04999999999995"/>
    <n v="349.83"/>
    <n v="2.99"/>
    <n v="460"/>
    <x v="1"/>
    <n v="5265"/>
  </r>
  <r>
    <n v="246"/>
    <n v="2001"/>
    <x v="1"/>
    <x v="405"/>
    <x v="306"/>
    <s v="en-US"/>
    <x v="2"/>
    <n v="3.62"/>
    <x v="405"/>
    <x v="0"/>
    <n v="758.19"/>
    <n v="0"/>
    <n v="1.99"/>
    <n v="271"/>
    <x v="0"/>
    <n v="381"/>
  </r>
  <r>
    <n v="580"/>
    <n v="1999"/>
    <x v="0"/>
    <x v="406"/>
    <x v="306"/>
    <s v="eng"/>
    <x v="1"/>
    <n v="3.41"/>
    <x v="406"/>
    <x v="0"/>
    <n v="562.59"/>
    <n v="0"/>
    <n v="3.99"/>
    <n v="651"/>
    <x v="0"/>
    <n v="61128"/>
  </r>
  <r>
    <n v="1036"/>
    <n v="1992"/>
    <x v="0"/>
    <x v="407"/>
    <x v="307"/>
    <s v="en-GB"/>
    <x v="2"/>
    <n v="3.78"/>
    <x v="407"/>
    <x v="0"/>
    <n v="324.20999999999998"/>
    <n v="194.52600000000001"/>
    <n v="3.03"/>
    <n v="1223"/>
    <x v="0"/>
    <n v="107"/>
  </r>
  <r>
    <n v="698"/>
    <n v="1993"/>
    <x v="0"/>
    <x v="408"/>
    <x v="308"/>
    <s v="en-US"/>
    <x v="0"/>
    <n v="4.22"/>
    <x v="408"/>
    <x v="0"/>
    <n v="116.82"/>
    <n v="70.091999999999999"/>
    <n v="0.99"/>
    <n v="803"/>
    <x v="0"/>
    <n v="36072"/>
  </r>
  <r>
    <n v="381"/>
    <n v="1996"/>
    <x v="0"/>
    <x v="409"/>
    <x v="309"/>
    <s v="eng"/>
    <x v="0"/>
    <n v="4.1100000000000003"/>
    <x v="409"/>
    <x v="1"/>
    <n v="2177.8200000000002"/>
    <n v="1306.692"/>
    <n v="9.99"/>
    <n v="414"/>
    <x v="0"/>
    <n v="5886"/>
  </r>
  <r>
    <n v="465"/>
    <n v="1997"/>
    <x v="0"/>
    <x v="410"/>
    <x v="309"/>
    <s v="en-US"/>
    <x v="0"/>
    <n v="4.1399999999999997"/>
    <x v="410"/>
    <x v="0"/>
    <n v="1109.79"/>
    <n v="665.87400000000002"/>
    <n v="6.49"/>
    <n v="517"/>
    <x v="7"/>
    <n v="4617"/>
  </r>
  <r>
    <n v="536"/>
    <n v="1998"/>
    <x v="0"/>
    <x v="411"/>
    <x v="309"/>
    <s v="en-US"/>
    <x v="0"/>
    <n v="4.17"/>
    <x v="411"/>
    <x v="0"/>
    <n v="151.47"/>
    <n v="90.882000000000005"/>
    <n v="0.99"/>
    <n v="597"/>
    <x v="0"/>
    <n v="4131"/>
  </r>
  <r>
    <n v="620"/>
    <n v="2000"/>
    <x v="1"/>
    <x v="412"/>
    <x v="309"/>
    <s v="eng"/>
    <x v="0"/>
    <n v="4.18"/>
    <x v="412"/>
    <x v="0"/>
    <n v="514.71"/>
    <n v="0"/>
    <n v="3.99"/>
    <n v="705"/>
    <x v="0"/>
    <n v="48600"/>
  </r>
  <r>
    <n v="650"/>
    <n v="1999"/>
    <x v="0"/>
    <x v="413"/>
    <x v="309"/>
    <s v="eng"/>
    <x v="0"/>
    <n v="4.17"/>
    <x v="413"/>
    <x v="3"/>
    <n v="671.55"/>
    <n v="402.93"/>
    <n v="5.55"/>
    <n v="745"/>
    <x v="0"/>
    <n v="43200"/>
  </r>
  <r>
    <n v="695"/>
    <n v="2001"/>
    <x v="1"/>
    <x v="414"/>
    <x v="309"/>
    <s v="en-US"/>
    <x v="0"/>
    <n v="4.1500000000000004"/>
    <x v="414"/>
    <x v="0"/>
    <n v="1320.42"/>
    <n v="792.25199999999995"/>
    <n v="11.19"/>
    <n v="800"/>
    <x v="8"/>
    <n v="36072"/>
  </r>
  <r>
    <n v="736"/>
    <n v="2003"/>
    <x v="1"/>
    <x v="415"/>
    <x v="309"/>
    <s v="eng"/>
    <x v="0"/>
    <n v="4.16"/>
    <x v="415"/>
    <x v="0"/>
    <n v="1402.83"/>
    <n v="841.69799999999998"/>
    <n v="11.99"/>
    <n v="844"/>
    <x v="2"/>
    <n v="32832"/>
  </r>
  <r>
    <n v="846"/>
    <n v="2002"/>
    <x v="1"/>
    <x v="416"/>
    <x v="309"/>
    <m/>
    <x v="0"/>
    <n v="4.34"/>
    <x v="416"/>
    <x v="0"/>
    <n v="169.5"/>
    <n v="101.7"/>
    <n v="1.5"/>
    <n v="992"/>
    <x v="8"/>
    <n v="2889"/>
  </r>
  <r>
    <n v="859"/>
    <n v="2005"/>
    <x v="1"/>
    <x v="417"/>
    <x v="309"/>
    <s v="en-US"/>
    <x v="0"/>
    <n v="4.1500000000000004"/>
    <x v="417"/>
    <x v="0"/>
    <n v="846.37"/>
    <n v="507.822"/>
    <n v="7.49"/>
    <n v="1006"/>
    <x v="2"/>
    <n v="2862"/>
  </r>
  <r>
    <n v="701"/>
    <n v="2002"/>
    <x v="1"/>
    <x v="418"/>
    <x v="310"/>
    <s v="en-US"/>
    <x v="0"/>
    <n v="4.17"/>
    <x v="418"/>
    <x v="1"/>
    <n v="1060.82"/>
    <n v="636.49199999999996"/>
    <n v="8.99"/>
    <n v="805"/>
    <x v="6"/>
    <n v="35640"/>
  </r>
  <r>
    <n v="459"/>
    <n v="2010"/>
    <x v="1"/>
    <x v="419"/>
    <x v="311"/>
    <s v="eng"/>
    <x v="2"/>
    <n v="3.93"/>
    <x v="419"/>
    <x v="0"/>
    <n v="517.27"/>
    <n v="310.36200000000002"/>
    <n v="2.99"/>
    <n v="509"/>
    <x v="1"/>
    <n v="4671"/>
  </r>
  <r>
    <n v="850"/>
    <n v="2001"/>
    <x v="1"/>
    <x v="420"/>
    <x v="312"/>
    <s v="en-US"/>
    <x v="2"/>
    <n v="3.92"/>
    <x v="420"/>
    <x v="1"/>
    <n v="111.87"/>
    <n v="67.122"/>
    <n v="0.99"/>
    <n v="995"/>
    <x v="0"/>
    <n v="2862"/>
  </r>
  <r>
    <n v="601"/>
    <n v="1977"/>
    <x v="0"/>
    <x v="421"/>
    <x v="313"/>
    <s v="eng"/>
    <x v="2"/>
    <n v="3.82"/>
    <x v="421"/>
    <x v="0"/>
    <n v="1191.26"/>
    <n v="714.75599999999997"/>
    <n v="8.89"/>
    <n v="684"/>
    <x v="7"/>
    <n v="52056"/>
  </r>
  <r>
    <n v="584"/>
    <n v="2011"/>
    <x v="1"/>
    <x v="422"/>
    <x v="314"/>
    <s v="en-US"/>
    <x v="2"/>
    <n v="3.89"/>
    <x v="422"/>
    <x v="2"/>
    <n v="558.6"/>
    <n v="0"/>
    <n v="3.99"/>
    <n v="655"/>
    <x v="0"/>
    <n v="57240"/>
  </r>
  <r>
    <n v="726"/>
    <n v="2007"/>
    <x v="1"/>
    <x v="423"/>
    <x v="315"/>
    <s v="eng"/>
    <x v="0"/>
    <n v="4.18"/>
    <x v="423"/>
    <x v="0"/>
    <n v="232.83"/>
    <n v="139.69800000000001"/>
    <n v="1.99"/>
    <n v="834"/>
    <x v="0"/>
    <n v="33912"/>
  </r>
  <r>
    <n v="223"/>
    <n v="2008"/>
    <x v="1"/>
    <x v="424"/>
    <x v="316"/>
    <s v="eng"/>
    <x v="2"/>
    <n v="4.05"/>
    <x v="424"/>
    <x v="0"/>
    <n v="5107.74"/>
    <n v="3064.6439999999998"/>
    <n v="11.99"/>
    <n v="244"/>
    <x v="2"/>
    <n v="426"/>
  </r>
  <r>
    <n v="512"/>
    <n v="2008"/>
    <x v="1"/>
    <x v="425"/>
    <x v="317"/>
    <s v="en-US"/>
    <x v="0"/>
    <n v="4.0999999999999996"/>
    <x v="425"/>
    <x v="0"/>
    <n v="478.4"/>
    <n v="0"/>
    <n v="2.99"/>
    <n v="567"/>
    <x v="0"/>
    <n v="4320"/>
  </r>
  <r>
    <n v="635"/>
    <n v="2009"/>
    <x v="1"/>
    <x v="426"/>
    <x v="317"/>
    <s v="eng"/>
    <x v="0"/>
    <n v="4.1100000000000003"/>
    <x v="426"/>
    <x v="0"/>
    <n v="502.74"/>
    <n v="0"/>
    <n v="3.99"/>
    <n v="719"/>
    <x v="0"/>
    <n v="46440"/>
  </r>
  <r>
    <n v="663"/>
    <n v="2009"/>
    <x v="1"/>
    <x v="427"/>
    <x v="317"/>
    <s v="en-US"/>
    <x v="0"/>
    <n v="4.1399999999999997"/>
    <x v="427"/>
    <x v="0"/>
    <n v="474.81"/>
    <n v="0"/>
    <n v="3.99"/>
    <n v="764"/>
    <x v="0"/>
    <n v="39744"/>
  </r>
  <r>
    <n v="845"/>
    <n v="2010"/>
    <x v="1"/>
    <x v="428"/>
    <x v="317"/>
    <s v="en-US"/>
    <x v="0"/>
    <n v="4.16"/>
    <x v="428"/>
    <x v="1"/>
    <n v="111.87"/>
    <n v="67.122"/>
    <n v="0.99"/>
    <n v="990"/>
    <x v="0"/>
    <n v="2889"/>
  </r>
  <r>
    <n v="897"/>
    <n v="2010"/>
    <x v="1"/>
    <x v="429"/>
    <x v="317"/>
    <s v="eng"/>
    <x v="0"/>
    <n v="4.21"/>
    <x v="429"/>
    <x v="1"/>
    <n v="1330.89"/>
    <n v="798.53399999999999"/>
    <n v="11.99"/>
    <n v="1053"/>
    <x v="2"/>
    <n v="4400"/>
  </r>
  <r>
    <n v="891"/>
    <n v="1993"/>
    <x v="0"/>
    <x v="430"/>
    <x v="318"/>
    <s v="eng"/>
    <x v="0"/>
    <n v="4.16"/>
    <x v="430"/>
    <x v="0"/>
    <n v="670.88"/>
    <n v="0"/>
    <n v="5.99"/>
    <n v="1048"/>
    <x v="0"/>
    <n v="4400"/>
  </r>
  <r>
    <n v="195"/>
    <n v="1997"/>
    <x v="0"/>
    <x v="431"/>
    <x v="319"/>
    <s v="en-US"/>
    <x v="2"/>
    <n v="4.18"/>
    <x v="431"/>
    <x v="0"/>
    <n v="5253.22"/>
    <n v="3151.9319999999998"/>
    <n v="10.99"/>
    <n v="213"/>
    <x v="6"/>
    <n v="478"/>
  </r>
  <r>
    <n v="569"/>
    <n v="1979"/>
    <x v="0"/>
    <x v="432"/>
    <x v="320"/>
    <s v="en-US"/>
    <x v="0"/>
    <n v="4.2699999999999996"/>
    <x v="432"/>
    <x v="2"/>
    <n v="723.55"/>
    <n v="0"/>
    <n v="4.99"/>
    <n v="632"/>
    <x v="0"/>
    <n v="3915"/>
  </r>
  <r>
    <n v="26"/>
    <n v="1993"/>
    <x v="0"/>
    <x v="433"/>
    <x v="321"/>
    <s v="eng"/>
    <x v="2"/>
    <n v="3.83"/>
    <x v="433"/>
    <x v="0"/>
    <n v="26904.06"/>
    <n v="16142.436"/>
    <n v="10.91"/>
    <n v="28"/>
    <x v="2"/>
    <n v="2466"/>
  </r>
  <r>
    <n v="393"/>
    <n v="2011"/>
    <x v="1"/>
    <x v="434"/>
    <x v="321"/>
    <s v="eng"/>
    <x v="1"/>
    <n v="3.42"/>
    <x v="434"/>
    <x v="0"/>
    <n v="1080.32"/>
    <n v="648.19200000000001"/>
    <n v="5.12"/>
    <n v="427"/>
    <x v="6"/>
    <n v="5697"/>
  </r>
  <r>
    <n v="769"/>
    <n v="2004"/>
    <x v="1"/>
    <x v="435"/>
    <x v="322"/>
    <s v="en-US"/>
    <x v="0"/>
    <n v="4.12"/>
    <x v="435"/>
    <x v="0"/>
    <n v="114.84"/>
    <n v="0"/>
    <n v="0.99"/>
    <n v="890"/>
    <x v="0"/>
    <n v="29808"/>
  </r>
  <r>
    <n v="1063"/>
    <n v="2004"/>
    <x v="1"/>
    <x v="436"/>
    <x v="323"/>
    <s v="eng"/>
    <x v="2"/>
    <n v="3.95"/>
    <x v="436"/>
    <x v="0"/>
    <n v="846.94"/>
    <n v="508.16399999999999"/>
    <n v="7.99"/>
    <n v="1266"/>
    <x v="6"/>
    <n v="106"/>
  </r>
  <r>
    <n v="766"/>
    <n v="2012"/>
    <x v="1"/>
    <x v="437"/>
    <x v="324"/>
    <s v="eng"/>
    <x v="2"/>
    <n v="3.8"/>
    <x v="437"/>
    <x v="0"/>
    <n v="114.84"/>
    <n v="0"/>
    <n v="0.99"/>
    <n v="886"/>
    <x v="0"/>
    <n v="30240"/>
  </r>
  <r>
    <n v="107"/>
    <n v="2010"/>
    <x v="1"/>
    <x v="438"/>
    <x v="325"/>
    <s v="eng"/>
    <x v="2"/>
    <n v="3.64"/>
    <x v="438"/>
    <x v="0"/>
    <n v="4690.6000000000004"/>
    <n v="2814.36"/>
    <n v="4.99"/>
    <n v="112"/>
    <x v="3"/>
    <n v="940"/>
  </r>
  <r>
    <n v="219"/>
    <n v="2011"/>
    <x v="1"/>
    <x v="439"/>
    <x v="326"/>
    <s v="eng"/>
    <x v="2"/>
    <n v="4.2300000000000004"/>
    <x v="439"/>
    <x v="0"/>
    <n v="5191.67"/>
    <n v="3115.002"/>
    <n v="11.99"/>
    <n v="240"/>
    <x v="2"/>
    <n v="433"/>
  </r>
  <r>
    <n v="638"/>
    <n v="2012"/>
    <x v="1"/>
    <x v="440"/>
    <x v="326"/>
    <s v="eng"/>
    <x v="0"/>
    <n v="4.33"/>
    <x v="440"/>
    <x v="0"/>
    <n v="1127.5"/>
    <n v="676.5"/>
    <n v="9.02"/>
    <n v="725"/>
    <x v="6"/>
    <n v="46008"/>
  </r>
  <r>
    <n v="1025"/>
    <n v="2012"/>
    <x v="1"/>
    <x v="441"/>
    <x v="326"/>
    <m/>
    <x v="0"/>
    <n v="4.34"/>
    <x v="441"/>
    <x v="0"/>
    <n v="105.93"/>
    <n v="0"/>
    <n v="0.99"/>
    <n v="1213"/>
    <x v="0"/>
    <n v="107"/>
  </r>
  <r>
    <n v="390"/>
    <n v="2015"/>
    <x v="1"/>
    <x v="442"/>
    <x v="327"/>
    <s v="eng"/>
    <x v="0"/>
    <n v="4.1900000000000004"/>
    <x v="442"/>
    <x v="0"/>
    <n v="423.87"/>
    <n v="254.322"/>
    <n v="1.99"/>
    <n v="423"/>
    <x v="8"/>
    <n v="5751"/>
  </r>
  <r>
    <n v="678"/>
    <n v="2012"/>
    <x v="1"/>
    <x v="443"/>
    <x v="328"/>
    <s v="eng"/>
    <x v="2"/>
    <n v="3.81"/>
    <x v="443"/>
    <x v="0"/>
    <n v="1307.81"/>
    <n v="784.68600000000004"/>
    <n v="10.99"/>
    <n v="781"/>
    <x v="6"/>
    <n v="37368"/>
  </r>
  <r>
    <n v="576"/>
    <n v="2004"/>
    <x v="1"/>
    <x v="444"/>
    <x v="329"/>
    <m/>
    <x v="2"/>
    <n v="3.76"/>
    <x v="444"/>
    <x v="1"/>
    <n v="1072.5"/>
    <n v="643.5"/>
    <n v="7.5"/>
    <n v="645"/>
    <x v="6"/>
    <n v="3861"/>
  </r>
  <r>
    <n v="214"/>
    <n v="2012"/>
    <x v="1"/>
    <x v="445"/>
    <x v="330"/>
    <s v="eng"/>
    <x v="2"/>
    <n v="3.9"/>
    <x v="445"/>
    <x v="0"/>
    <n v="443.52"/>
    <n v="266.11200000000002"/>
    <n v="0.99"/>
    <n v="231"/>
    <x v="0"/>
    <n v="448"/>
  </r>
  <r>
    <n v="296"/>
    <n v="2014"/>
    <x v="1"/>
    <x v="446"/>
    <x v="331"/>
    <s v="eng"/>
    <x v="0"/>
    <n v="4.1100000000000003"/>
    <x v="446"/>
    <x v="1"/>
    <n v="598.99"/>
    <n v="0"/>
    <n v="1.99"/>
    <n v="319"/>
    <x v="0"/>
    <n v="301"/>
  </r>
  <r>
    <n v="535"/>
    <n v="2009"/>
    <x v="1"/>
    <x v="447"/>
    <x v="331"/>
    <s v="en-US"/>
    <x v="2"/>
    <n v="3.96"/>
    <x v="447"/>
    <x v="0"/>
    <n v="610.47"/>
    <n v="0"/>
    <n v="3.99"/>
    <n v="596"/>
    <x v="0"/>
    <n v="4131"/>
  </r>
  <r>
    <n v="753"/>
    <n v="2010"/>
    <x v="1"/>
    <x v="448"/>
    <x v="331"/>
    <s v="en-US"/>
    <x v="0"/>
    <n v="4.1399999999999997"/>
    <x v="448"/>
    <x v="0"/>
    <n v="346.84"/>
    <n v="0"/>
    <n v="2.99"/>
    <n v="868"/>
    <x v="0"/>
    <n v="31536"/>
  </r>
  <r>
    <n v="322"/>
    <n v="1990"/>
    <x v="0"/>
    <x v="449"/>
    <x v="332"/>
    <s v="eng"/>
    <x v="2"/>
    <n v="3.86"/>
    <x v="449"/>
    <x v="0"/>
    <n v="777.4"/>
    <n v="0"/>
    <n v="2.99"/>
    <n v="344"/>
    <x v="0"/>
    <n v="260"/>
  </r>
  <r>
    <n v="158"/>
    <n v="2012"/>
    <x v="1"/>
    <x v="450"/>
    <x v="333"/>
    <s v="eng"/>
    <x v="2"/>
    <n v="3.67"/>
    <x v="450"/>
    <x v="0"/>
    <n v="9818.4500000000007"/>
    <n v="5891.07"/>
    <n v="14.99"/>
    <n v="169"/>
    <x v="6"/>
    <n v="655"/>
  </r>
  <r>
    <n v="844"/>
    <n v="2012"/>
    <x v="1"/>
    <x v="451"/>
    <x v="334"/>
    <s v="en-US"/>
    <x v="2"/>
    <n v="3.58"/>
    <x v="451"/>
    <x v="1"/>
    <n v="1241.8699999999999"/>
    <n v="745.12199999999996"/>
    <n v="10.99"/>
    <n v="988"/>
    <x v="6"/>
    <n v="2889"/>
  </r>
  <r>
    <n v="395"/>
    <n v="2015"/>
    <x v="1"/>
    <x v="452"/>
    <x v="335"/>
    <s v="eng"/>
    <x v="1"/>
    <n v="3.48"/>
    <x v="452"/>
    <x v="0"/>
    <n v="2007.6"/>
    <n v="1204.56"/>
    <n v="9.56"/>
    <n v="430"/>
    <x v="1"/>
    <n v="5670"/>
  </r>
  <r>
    <n v="688"/>
    <n v="2012"/>
    <x v="1"/>
    <x v="453"/>
    <x v="336"/>
    <s v="eng"/>
    <x v="0"/>
    <n v="4.21"/>
    <x v="453"/>
    <x v="0"/>
    <n v="116.82"/>
    <n v="70.091999999999999"/>
    <n v="0.99"/>
    <n v="792"/>
    <x v="0"/>
    <n v="36504"/>
  </r>
  <r>
    <n v="864"/>
    <n v="2014"/>
    <x v="1"/>
    <x v="454"/>
    <x v="337"/>
    <s v="eng"/>
    <x v="2"/>
    <n v="3.58"/>
    <x v="454"/>
    <x v="0"/>
    <n v="224.87"/>
    <n v="134.922"/>
    <n v="1.99"/>
    <n v="1010"/>
    <x v="8"/>
    <n v="2862"/>
  </r>
  <r>
    <n v="131"/>
    <n v="1999"/>
    <x v="0"/>
    <x v="455"/>
    <x v="338"/>
    <s v="eng"/>
    <x v="2"/>
    <n v="4.12"/>
    <x v="455"/>
    <x v="0"/>
    <n v="8573.25"/>
    <n v="5143.95"/>
    <n v="10.65"/>
    <n v="139"/>
    <x v="2"/>
    <n v="805"/>
  </r>
  <r>
    <n v="711"/>
    <n v="2013"/>
    <x v="1"/>
    <x v="456"/>
    <x v="338"/>
    <s v="eng"/>
    <x v="2"/>
    <n v="3.82"/>
    <x v="456"/>
    <x v="0"/>
    <n v="470.82"/>
    <n v="282.49200000000002"/>
    <n v="3.99"/>
    <n v="818"/>
    <x v="0"/>
    <n v="35208"/>
  </r>
  <r>
    <n v="779"/>
    <n v="2008"/>
    <x v="1"/>
    <x v="457"/>
    <x v="338"/>
    <s v="eng"/>
    <x v="0"/>
    <n v="4.1100000000000003"/>
    <x v="457"/>
    <x v="0"/>
    <n v="458.85"/>
    <n v="0"/>
    <n v="3.99"/>
    <n v="903"/>
    <x v="0"/>
    <n v="28296"/>
  </r>
  <r>
    <n v="360"/>
    <n v="2001"/>
    <x v="1"/>
    <x v="458"/>
    <x v="339"/>
    <s v="eng"/>
    <x v="0"/>
    <n v="4.04"/>
    <x v="458"/>
    <x v="0"/>
    <n v="687.7"/>
    <n v="412.62"/>
    <n v="2.99"/>
    <n v="389"/>
    <x v="3"/>
    <n v="6210"/>
  </r>
  <r>
    <n v="503"/>
    <n v="2001"/>
    <x v="1"/>
    <x v="459"/>
    <x v="339"/>
    <s v="eng"/>
    <x v="0"/>
    <n v="4.18"/>
    <x v="459"/>
    <x v="1"/>
    <n v="322.38"/>
    <n v="193.428"/>
    <n v="1.99"/>
    <n v="557"/>
    <x v="0"/>
    <n v="4374"/>
  </r>
  <r>
    <n v="596"/>
    <n v="2002"/>
    <x v="1"/>
    <x v="460"/>
    <x v="339"/>
    <s v="eng"/>
    <x v="0"/>
    <n v="4.3"/>
    <x v="460"/>
    <x v="0"/>
    <n v="542.64"/>
    <n v="0"/>
    <n v="3.99"/>
    <n v="676"/>
    <x v="0"/>
    <n v="52920"/>
  </r>
  <r>
    <n v="697"/>
    <n v="2003"/>
    <x v="1"/>
    <x v="461"/>
    <x v="339"/>
    <s v="eng"/>
    <x v="0"/>
    <n v="4.32"/>
    <x v="461"/>
    <x v="3"/>
    <n v="654.9"/>
    <n v="392.94"/>
    <n v="5.55"/>
    <n v="802"/>
    <x v="0"/>
    <n v="36072"/>
  </r>
  <r>
    <n v="773"/>
    <n v="2004"/>
    <x v="1"/>
    <x v="462"/>
    <x v="339"/>
    <s v="eng"/>
    <x v="0"/>
    <n v="4.33"/>
    <x v="462"/>
    <x v="1"/>
    <n v="1041.68"/>
    <n v="625.00800000000004"/>
    <n v="8.98"/>
    <n v="894"/>
    <x v="0"/>
    <n v="28944"/>
  </r>
  <r>
    <n v="809"/>
    <n v="2005"/>
    <x v="1"/>
    <x v="463"/>
    <x v="339"/>
    <s v="eng"/>
    <x v="3"/>
    <n v="4.43"/>
    <x v="463"/>
    <x v="0"/>
    <n v="568.86"/>
    <n v="0"/>
    <n v="4.99"/>
    <n v="944"/>
    <x v="0"/>
    <n v="2916"/>
  </r>
  <r>
    <n v="832"/>
    <n v="2006"/>
    <x v="1"/>
    <x v="464"/>
    <x v="339"/>
    <s v="eng"/>
    <x v="3"/>
    <n v="4.41"/>
    <x v="464"/>
    <x v="0"/>
    <n v="778.62"/>
    <n v="467.17200000000003"/>
    <n v="6.83"/>
    <n v="971"/>
    <x v="1"/>
    <n v="2889"/>
  </r>
  <r>
    <n v="863"/>
    <n v="2007"/>
    <x v="1"/>
    <x v="465"/>
    <x v="339"/>
    <s v="en-US"/>
    <x v="3"/>
    <n v="4.41"/>
    <x v="465"/>
    <x v="2"/>
    <n v="111.87"/>
    <n v="67.122"/>
    <n v="0.99"/>
    <n v="1009"/>
    <x v="0"/>
    <n v="2862"/>
  </r>
  <r>
    <n v="919"/>
    <n v="2008"/>
    <x v="1"/>
    <x v="466"/>
    <x v="339"/>
    <s v="en-US"/>
    <x v="3"/>
    <n v="4.43"/>
    <x v="466"/>
    <x v="1"/>
    <n v="1219.8900000000001"/>
    <n v="731.93399999999997"/>
    <n v="10.99"/>
    <n v="1077"/>
    <x v="6"/>
    <n v="4360"/>
  </r>
  <r>
    <n v="948"/>
    <n v="2004"/>
    <x v="1"/>
    <x v="467"/>
    <x v="339"/>
    <s v="eng"/>
    <x v="0"/>
    <n v="4.12"/>
    <x v="467"/>
    <x v="0"/>
    <n v="108.9"/>
    <n v="0"/>
    <n v="0.99"/>
    <n v="1119"/>
    <x v="0"/>
    <n v="4280"/>
  </r>
  <r>
    <n v="520"/>
    <n v="1998"/>
    <x v="0"/>
    <x v="468"/>
    <x v="340"/>
    <s v="eng"/>
    <x v="2"/>
    <n v="3.88"/>
    <x v="468"/>
    <x v="0"/>
    <n v="472.42"/>
    <n v="283.452"/>
    <n v="2.99"/>
    <n v="576"/>
    <x v="0"/>
    <n v="4266"/>
  </r>
  <r>
    <n v="364"/>
    <n v="2005"/>
    <x v="1"/>
    <x v="469"/>
    <x v="341"/>
    <s v="eng"/>
    <x v="2"/>
    <n v="3.86"/>
    <x v="469"/>
    <x v="0"/>
    <n v="909.72"/>
    <n v="0"/>
    <n v="3.99"/>
    <n v="393"/>
    <x v="0"/>
    <n v="6156"/>
  </r>
  <r>
    <n v="600"/>
    <n v="1998"/>
    <x v="0"/>
    <x v="470"/>
    <x v="342"/>
    <s v="eng"/>
    <x v="2"/>
    <n v="3.95"/>
    <x v="470"/>
    <x v="1"/>
    <n v="873.68"/>
    <n v="524.20799999999997"/>
    <n v="6.52"/>
    <n v="682"/>
    <x v="0"/>
    <n v="52056"/>
  </r>
  <r>
    <n v="939"/>
    <n v="2012"/>
    <x v="1"/>
    <x v="471"/>
    <x v="343"/>
    <s v="eng"/>
    <x v="0"/>
    <n v="4.13"/>
    <x v="471"/>
    <x v="0"/>
    <n v="108.9"/>
    <n v="65.34"/>
    <n v="0.99"/>
    <n v="1102"/>
    <x v="0"/>
    <n v="4320"/>
  </r>
  <r>
    <n v="85"/>
    <n v="2000"/>
    <x v="1"/>
    <x v="472"/>
    <x v="344"/>
    <s v="eng"/>
    <x v="2"/>
    <n v="3.97"/>
    <x v="472"/>
    <x v="0"/>
    <n v="1188"/>
    <n v="0"/>
    <n v="0.99"/>
    <n v="87"/>
    <x v="0"/>
    <n v="1200"/>
  </r>
  <r>
    <n v="218"/>
    <n v="2013"/>
    <x v="1"/>
    <x v="473"/>
    <x v="344"/>
    <s v="eng"/>
    <x v="2"/>
    <n v="4.26"/>
    <x v="473"/>
    <x v="0"/>
    <n v="430.65"/>
    <n v="0"/>
    <n v="0.99"/>
    <n v="239"/>
    <x v="0"/>
    <n v="435"/>
  </r>
  <r>
    <n v="260"/>
    <n v="2010"/>
    <x v="1"/>
    <x v="474"/>
    <x v="344"/>
    <s v="en-US"/>
    <x v="2"/>
    <n v="4.01"/>
    <x v="474"/>
    <x v="1"/>
    <n v="4084.35"/>
    <n v="2450.61"/>
    <n v="11.19"/>
    <n v="281"/>
    <x v="8"/>
    <n v="365"/>
  </r>
  <r>
    <n v="377"/>
    <n v="2006"/>
    <x v="1"/>
    <x v="475"/>
    <x v="344"/>
    <s v="eng"/>
    <x v="1"/>
    <n v="3.48"/>
    <x v="475"/>
    <x v="0"/>
    <n v="3955.6"/>
    <n v="2373.36"/>
    <n v="17.98"/>
    <n v="409"/>
    <x v="0"/>
    <n v="5940"/>
  </r>
  <r>
    <n v="448"/>
    <n v="2014"/>
    <x v="1"/>
    <x v="476"/>
    <x v="344"/>
    <s v="eng"/>
    <x v="2"/>
    <n v="3.94"/>
    <x v="476"/>
    <x v="2"/>
    <n v="175.23"/>
    <n v="105.13800000000001"/>
    <n v="0.99"/>
    <n v="495"/>
    <x v="0"/>
    <n v="4779"/>
  </r>
  <r>
    <n v="521"/>
    <n v="2009"/>
    <x v="1"/>
    <x v="477"/>
    <x v="344"/>
    <s v="eng"/>
    <x v="2"/>
    <n v="3.96"/>
    <x v="477"/>
    <x v="2"/>
    <n v="1420.42"/>
    <n v="852.25199999999995"/>
    <n v="8.99"/>
    <n v="577"/>
    <x v="8"/>
    <n v="4266"/>
  </r>
  <r>
    <n v="570"/>
    <n v="2008"/>
    <x v="1"/>
    <x v="478"/>
    <x v="344"/>
    <s v="en-US"/>
    <x v="2"/>
    <n v="3.91"/>
    <x v="478"/>
    <x v="0"/>
    <n v="990.35"/>
    <n v="594.21"/>
    <n v="6.83"/>
    <n v="634"/>
    <x v="1"/>
    <n v="3915"/>
  </r>
  <r>
    <n v="618"/>
    <n v="2005"/>
    <x v="1"/>
    <x v="479"/>
    <x v="344"/>
    <s v="en-US"/>
    <x v="2"/>
    <n v="3.68"/>
    <x v="479"/>
    <x v="0"/>
    <n v="258.7"/>
    <n v="155.22"/>
    <n v="1.99"/>
    <n v="703"/>
    <x v="6"/>
    <n v="48816"/>
  </r>
  <r>
    <n v="895"/>
    <n v="1999"/>
    <x v="0"/>
    <x v="480"/>
    <x v="344"/>
    <m/>
    <x v="2"/>
    <n v="3.79"/>
    <x v="480"/>
    <x v="0"/>
    <n v="109.89"/>
    <n v="0"/>
    <n v="0.99"/>
    <n v="1052"/>
    <x v="0"/>
    <n v="4400"/>
  </r>
  <r>
    <n v="1001"/>
    <n v="2011"/>
    <x v="1"/>
    <x v="481"/>
    <x v="344"/>
    <s v="en-US"/>
    <x v="2"/>
    <n v="3.76"/>
    <x v="481"/>
    <x v="0"/>
    <n v="516.24"/>
    <n v="309.74400000000003"/>
    <n v="4.78"/>
    <n v="1184"/>
    <x v="0"/>
    <n v="108"/>
  </r>
  <r>
    <n v="386"/>
    <n v="2006"/>
    <x v="1"/>
    <x v="482"/>
    <x v="345"/>
    <s v="eng"/>
    <x v="0"/>
    <n v="4.1399999999999997"/>
    <x v="482"/>
    <x v="0"/>
    <n v="1717.85"/>
    <n v="1030.71"/>
    <n v="7.99"/>
    <n v="419"/>
    <x v="6"/>
    <n v="5805"/>
  </r>
  <r>
    <n v="699"/>
    <n v="2007"/>
    <x v="1"/>
    <x v="483"/>
    <x v="345"/>
    <s v="eng"/>
    <x v="0"/>
    <n v="4.2699999999999996"/>
    <x v="483"/>
    <x v="0"/>
    <n v="116.82"/>
    <n v="70.091999999999999"/>
    <n v="0.99"/>
    <n v="804"/>
    <x v="6"/>
    <n v="35856"/>
  </r>
  <r>
    <n v="815"/>
    <n v="2008"/>
    <x v="1"/>
    <x v="484"/>
    <x v="345"/>
    <s v="eng"/>
    <x v="0"/>
    <n v="4.26"/>
    <x v="484"/>
    <x v="0"/>
    <n v="568.86"/>
    <n v="341.31599999999997"/>
    <n v="4.99"/>
    <n v="952"/>
    <x v="3"/>
    <n v="2916"/>
  </r>
  <r>
    <n v="383"/>
    <n v="1974"/>
    <x v="0"/>
    <x v="485"/>
    <x v="346"/>
    <s v="eng"/>
    <x v="0"/>
    <n v="4.1500000000000004"/>
    <x v="485"/>
    <x v="0"/>
    <n v="214.83"/>
    <n v="128.898"/>
    <n v="0.99"/>
    <n v="416"/>
    <x v="0"/>
    <n v="5859"/>
  </r>
  <r>
    <n v="872"/>
    <n v="2009"/>
    <x v="1"/>
    <x v="486"/>
    <x v="347"/>
    <s v="en-US"/>
    <x v="2"/>
    <n v="3.92"/>
    <x v="486"/>
    <x v="1"/>
    <n v="334.88"/>
    <n v="200.928"/>
    <n v="2.99"/>
    <n v="1022"/>
    <x v="7"/>
    <n v="4480"/>
  </r>
  <r>
    <n v="896"/>
    <n v="2007"/>
    <x v="1"/>
    <x v="487"/>
    <x v="347"/>
    <s v="en-US"/>
    <x v="2"/>
    <n v="3.82"/>
    <x v="487"/>
    <x v="0"/>
    <n v="331.89"/>
    <n v="0"/>
    <n v="2.99"/>
    <n v="1052"/>
    <x v="0"/>
    <n v="4400"/>
  </r>
  <r>
    <n v="676"/>
    <n v="1812"/>
    <x v="2"/>
    <x v="488"/>
    <x v="348"/>
    <s v="eng"/>
    <x v="2"/>
    <n v="3.92"/>
    <x v="488"/>
    <x v="0"/>
    <n v="355.81"/>
    <n v="0"/>
    <n v="2.99"/>
    <n v="779"/>
    <x v="0"/>
    <n v="37584"/>
  </r>
  <r>
    <n v="108"/>
    <n v="1880"/>
    <x v="2"/>
    <x v="489"/>
    <x v="349"/>
    <s v="eng"/>
    <x v="2"/>
    <n v="3.97"/>
    <x v="489"/>
    <x v="0"/>
    <n v="3730.65"/>
    <n v="2238.39"/>
    <n v="3.99"/>
    <n v="113"/>
    <x v="2"/>
    <n v="935"/>
  </r>
  <r>
    <n v="7"/>
    <n v="1994"/>
    <x v="0"/>
    <x v="490"/>
    <x v="350"/>
    <s v="eng"/>
    <x v="2"/>
    <n v="3.9"/>
    <x v="490"/>
    <x v="1"/>
    <n v="26182"/>
    <n v="15709.2"/>
    <n v="6.89"/>
    <n v="8"/>
    <x v="7"/>
    <n v="3800"/>
  </r>
  <r>
    <n v="598"/>
    <n v="2007"/>
    <x v="1"/>
    <x v="491"/>
    <x v="351"/>
    <s v="eng"/>
    <x v="2"/>
    <n v="3.81"/>
    <x v="491"/>
    <x v="0"/>
    <n v="538.65"/>
    <n v="0"/>
    <n v="3.99"/>
    <n v="680"/>
    <x v="0"/>
    <n v="52488"/>
  </r>
  <r>
    <n v="712"/>
    <n v="2004"/>
    <x v="1"/>
    <x v="492"/>
    <x v="352"/>
    <s v="eng"/>
    <x v="0"/>
    <n v="4.2"/>
    <x v="492"/>
    <x v="1"/>
    <n v="824.82"/>
    <n v="494.892"/>
    <n v="6.99"/>
    <n v="818"/>
    <x v="6"/>
    <n v="34992"/>
  </r>
  <r>
    <n v="868"/>
    <n v="2005"/>
    <x v="1"/>
    <x v="493"/>
    <x v="352"/>
    <s v="en-US"/>
    <x v="0"/>
    <n v="4.28"/>
    <x v="493"/>
    <x v="1"/>
    <n v="838.88"/>
    <n v="503.32799999999997"/>
    <n v="7.49"/>
    <n v="1015"/>
    <x v="3"/>
    <n v="2862"/>
  </r>
  <r>
    <n v="973"/>
    <n v="2006"/>
    <x v="1"/>
    <x v="494"/>
    <x v="352"/>
    <s v="en-US"/>
    <x v="0"/>
    <n v="4.32"/>
    <x v="494"/>
    <x v="0"/>
    <n v="325.91000000000003"/>
    <n v="195.54599999999999"/>
    <n v="2.99"/>
    <n v="1149"/>
    <x v="0"/>
    <n v="4240"/>
  </r>
  <r>
    <n v="42"/>
    <n v="1998"/>
    <x v="0"/>
    <x v="495"/>
    <x v="353"/>
    <s v="en-US"/>
    <x v="2"/>
    <n v="3.52"/>
    <x v="495"/>
    <x v="0"/>
    <n v="3703.39"/>
    <n v="2222.0340000000001"/>
    <n v="1.99"/>
    <n v="44"/>
    <x v="0"/>
    <n v="1861"/>
  </r>
  <r>
    <n v="1044"/>
    <n v="2008"/>
    <x v="1"/>
    <x v="496"/>
    <x v="354"/>
    <s v="eng"/>
    <x v="2"/>
    <n v="3.84"/>
    <x v="496"/>
    <x v="2"/>
    <n v="1149.18"/>
    <n v="689.50800000000004"/>
    <n v="10.74"/>
    <n v="1235"/>
    <x v="2"/>
    <n v="107"/>
  </r>
  <r>
    <n v="65"/>
    <n v="1995"/>
    <x v="0"/>
    <x v="497"/>
    <x v="355"/>
    <s v="eng"/>
    <x v="2"/>
    <n v="3.91"/>
    <x v="497"/>
    <x v="0"/>
    <n v="12040.93"/>
    <n v="0"/>
    <n v="7.99"/>
    <n v="67"/>
    <x v="0"/>
    <n v="1507"/>
  </r>
  <r>
    <n v="302"/>
    <n v="1994"/>
    <x v="0"/>
    <x v="498"/>
    <x v="355"/>
    <s v="eng"/>
    <x v="2"/>
    <n v="3.76"/>
    <x v="498"/>
    <x v="0"/>
    <n v="292.05"/>
    <n v="0"/>
    <n v="0.99"/>
    <n v="323"/>
    <x v="0"/>
    <n v="295"/>
  </r>
  <r>
    <n v="432"/>
    <n v="1997"/>
    <x v="0"/>
    <x v="499"/>
    <x v="355"/>
    <m/>
    <x v="2"/>
    <n v="3.89"/>
    <x v="499"/>
    <x v="0"/>
    <n v="746.13"/>
    <n v="0"/>
    <n v="3.99"/>
    <n v="476"/>
    <x v="0"/>
    <n v="5049"/>
  </r>
  <r>
    <n v="506"/>
    <n v="1998"/>
    <x v="0"/>
    <x v="500"/>
    <x v="355"/>
    <s v="eng"/>
    <x v="2"/>
    <n v="3.81"/>
    <x v="500"/>
    <x v="0"/>
    <n v="320.39"/>
    <n v="192.23400000000001"/>
    <n v="1.99"/>
    <n v="561"/>
    <x v="6"/>
    <n v="4347"/>
  </r>
  <r>
    <n v="526"/>
    <n v="1999"/>
    <x v="0"/>
    <x v="501"/>
    <x v="355"/>
    <m/>
    <x v="2"/>
    <n v="3.83"/>
    <x v="501"/>
    <x v="1"/>
    <n v="778.44"/>
    <n v="467.06400000000002"/>
    <n v="4.99"/>
    <n v="585"/>
    <x v="6"/>
    <n v="4212"/>
  </r>
  <r>
    <n v="561"/>
    <n v="2013"/>
    <x v="1"/>
    <x v="502"/>
    <x v="355"/>
    <s v="eng"/>
    <x v="2"/>
    <n v="3.98"/>
    <x v="502"/>
    <x v="0"/>
    <n v="1074.57"/>
    <n v="644.74199999999996"/>
    <n v="7.31"/>
    <n v="627"/>
    <x v="2"/>
    <n v="3969"/>
  </r>
  <r>
    <n v="714"/>
    <n v="2000"/>
    <x v="1"/>
    <x v="503"/>
    <x v="355"/>
    <m/>
    <x v="2"/>
    <n v="3.71"/>
    <x v="503"/>
    <x v="2"/>
    <n v="942.82"/>
    <n v="565.69200000000001"/>
    <n v="7.99"/>
    <n v="820"/>
    <x v="2"/>
    <n v="34992"/>
  </r>
  <r>
    <n v="770"/>
    <n v="2005"/>
    <x v="1"/>
    <x v="504"/>
    <x v="355"/>
    <s v="eng"/>
    <x v="2"/>
    <n v="3.77"/>
    <x v="504"/>
    <x v="0"/>
    <n v="114.84"/>
    <n v="68.903999999999996"/>
    <n v="0.99"/>
    <n v="892"/>
    <x v="0"/>
    <n v="29592"/>
  </r>
  <r>
    <n v="857"/>
    <n v="2004"/>
    <x v="1"/>
    <x v="505"/>
    <x v="355"/>
    <s v="eng"/>
    <x v="2"/>
    <n v="3.85"/>
    <x v="505"/>
    <x v="1"/>
    <n v="970.67"/>
    <n v="582.40200000000004"/>
    <n v="8.59"/>
    <n v="1005"/>
    <x v="2"/>
    <n v="2862"/>
  </r>
  <r>
    <n v="876"/>
    <n v="2003"/>
    <x v="1"/>
    <x v="506"/>
    <x v="355"/>
    <s v="eng"/>
    <x v="2"/>
    <n v="3.67"/>
    <x v="506"/>
    <x v="1"/>
    <n v="670.88"/>
    <n v="402.52800000000002"/>
    <n v="5.99"/>
    <n v="1027"/>
    <x v="8"/>
    <n v="4480"/>
  </r>
  <r>
    <n v="1012"/>
    <n v="2012"/>
    <x v="1"/>
    <x v="507"/>
    <x v="355"/>
    <m/>
    <x v="2"/>
    <n v="3.79"/>
    <x v="507"/>
    <x v="0"/>
    <n v="322.92"/>
    <n v="193.75200000000001"/>
    <n v="2.99"/>
    <n v="1198"/>
    <x v="0"/>
    <n v="108"/>
  </r>
  <r>
    <n v="1042"/>
    <n v="2001"/>
    <x v="1"/>
    <x v="508"/>
    <x v="355"/>
    <s v="eng"/>
    <x v="2"/>
    <n v="3.67"/>
    <x v="508"/>
    <x v="1"/>
    <n v="105.93"/>
    <n v="0"/>
    <n v="0.99"/>
    <n v="1232"/>
    <x v="0"/>
    <n v="107"/>
  </r>
  <r>
    <n v="1065"/>
    <n v="2014"/>
    <x v="1"/>
    <x v="509"/>
    <x v="355"/>
    <s v="eng"/>
    <x v="2"/>
    <n v="3.52"/>
    <x v="509"/>
    <x v="1"/>
    <n v="104.94"/>
    <n v="62.963999999999999"/>
    <n v="0.99"/>
    <n v="1268"/>
    <x v="0"/>
    <n v="106"/>
  </r>
  <r>
    <n v="173"/>
    <n v="1985"/>
    <x v="0"/>
    <x v="510"/>
    <x v="356"/>
    <s v="eng"/>
    <x v="2"/>
    <n v="4.0999999999999996"/>
    <x v="510"/>
    <x v="0"/>
    <n v="1134.3"/>
    <n v="0"/>
    <n v="1.99"/>
    <n v="186"/>
    <x v="0"/>
    <n v="570"/>
  </r>
  <r>
    <n v="64"/>
    <n v="1959"/>
    <x v="0"/>
    <x v="511"/>
    <x v="357"/>
    <s v="en-US"/>
    <x v="2"/>
    <n v="3.56"/>
    <x v="511"/>
    <x v="0"/>
    <n v="5924.47"/>
    <n v="0"/>
    <n v="3.89"/>
    <n v="66"/>
    <x v="0"/>
    <n v="1523"/>
  </r>
  <r>
    <n v="453"/>
    <n v="1667"/>
    <x v="2"/>
    <x v="512"/>
    <x v="358"/>
    <s v="eng"/>
    <x v="2"/>
    <n v="3.8"/>
    <x v="512"/>
    <x v="0"/>
    <n v="868.26"/>
    <n v="0"/>
    <n v="4.99"/>
    <n v="502"/>
    <x v="0"/>
    <n v="4698"/>
  </r>
  <r>
    <n v="379"/>
    <n v="2005"/>
    <x v="1"/>
    <x v="513"/>
    <x v="359"/>
    <s v="eng"/>
    <x v="0"/>
    <n v="4.2300000000000004"/>
    <x v="513"/>
    <x v="0"/>
    <n v="1311.81"/>
    <n v="787.08600000000001"/>
    <n v="5.99"/>
    <n v="412"/>
    <x v="3"/>
    <n v="5913"/>
  </r>
  <r>
    <n v="199"/>
    <n v="1947"/>
    <x v="0"/>
    <x v="514"/>
    <x v="360"/>
    <s v="eng"/>
    <x v="1"/>
    <n v="3.41"/>
    <x v="514"/>
    <x v="0"/>
    <n v="470.25"/>
    <n v="282.14999999999998"/>
    <n v="0.99"/>
    <n v="215"/>
    <x v="0"/>
    <n v="475"/>
  </r>
  <r>
    <n v="630"/>
    <n v="1945"/>
    <x v="0"/>
    <x v="515"/>
    <x v="360"/>
    <s v="eng"/>
    <x v="0"/>
    <n v="4.0199999999999996"/>
    <x v="515"/>
    <x v="0"/>
    <n v="1153.28"/>
    <n v="691.96799999999996"/>
    <n v="9.01"/>
    <n v="713"/>
    <x v="8"/>
    <n v="47088"/>
  </r>
  <r>
    <n v="35"/>
    <n v="2015"/>
    <x v="1"/>
    <x v="516"/>
    <x v="361"/>
    <s v="eng"/>
    <x v="2"/>
    <n v="3.7"/>
    <x v="516"/>
    <x v="0"/>
    <n v="1964.16"/>
    <n v="0"/>
    <n v="0.99"/>
    <n v="36"/>
    <x v="0"/>
    <n v="1984"/>
  </r>
  <r>
    <n v="409"/>
    <n v="2014"/>
    <x v="1"/>
    <x v="517"/>
    <x v="361"/>
    <s v="eng"/>
    <x v="2"/>
    <n v="3.94"/>
    <x v="517"/>
    <x v="0"/>
    <n v="399.99"/>
    <n v="239.994"/>
    <n v="1.99"/>
    <n v="448"/>
    <x v="7"/>
    <n v="5427"/>
  </r>
  <r>
    <n v="486"/>
    <n v="2012"/>
    <x v="1"/>
    <x v="518"/>
    <x v="361"/>
    <s v="eng"/>
    <x v="2"/>
    <n v="3.95"/>
    <x v="518"/>
    <x v="0"/>
    <n v="1152.04"/>
    <n v="691.22400000000005"/>
    <n v="6.94"/>
    <n v="537"/>
    <x v="6"/>
    <n v="4482"/>
  </r>
  <r>
    <n v="157"/>
    <n v="2003"/>
    <x v="1"/>
    <x v="519"/>
    <x v="362"/>
    <s v="eng"/>
    <x v="2"/>
    <n v="3.98"/>
    <x v="519"/>
    <x v="0"/>
    <n v="648.45000000000005"/>
    <n v="0"/>
    <n v="0.99"/>
    <n v="169"/>
    <x v="0"/>
    <n v="655"/>
  </r>
  <r>
    <n v="617"/>
    <n v="2011"/>
    <x v="1"/>
    <x v="520"/>
    <x v="363"/>
    <s v="eng"/>
    <x v="2"/>
    <n v="3.91"/>
    <x v="520"/>
    <x v="0"/>
    <n v="492.7"/>
    <n v="295.62"/>
    <n v="3.79"/>
    <n v="701"/>
    <x v="3"/>
    <n v="49032"/>
  </r>
  <r>
    <n v="96"/>
    <n v="1989"/>
    <x v="0"/>
    <x v="521"/>
    <x v="364"/>
    <s v="en-GB"/>
    <x v="2"/>
    <n v="4.29"/>
    <x v="521"/>
    <x v="0"/>
    <n v="1019.7"/>
    <n v="0"/>
    <n v="0.99"/>
    <n v="98"/>
    <x v="0"/>
    <n v="1030"/>
  </r>
  <r>
    <n v="871"/>
    <n v="1992"/>
    <x v="0"/>
    <x v="522"/>
    <x v="364"/>
    <s v="eng"/>
    <x v="0"/>
    <n v="4.2"/>
    <x v="522"/>
    <x v="1"/>
    <n v="334.88"/>
    <n v="200.928"/>
    <n v="2.99"/>
    <n v="1020"/>
    <x v="0"/>
    <n v="4480"/>
  </r>
  <r>
    <n v="565"/>
    <n v="2004"/>
    <x v="1"/>
    <x v="523"/>
    <x v="365"/>
    <s v="eng"/>
    <x v="0"/>
    <n v="4.0199999999999996"/>
    <x v="523"/>
    <x v="1"/>
    <n v="1166.54"/>
    <n v="699.92399999999998"/>
    <n v="7.99"/>
    <n v="630"/>
    <x v="6"/>
    <n v="3942"/>
  </r>
  <r>
    <n v="467"/>
    <n v="1971"/>
    <x v="0"/>
    <x v="524"/>
    <x v="366"/>
    <s v="eng"/>
    <x v="3"/>
    <n v="4.45"/>
    <x v="524"/>
    <x v="0"/>
    <n v="340.29"/>
    <n v="0"/>
    <n v="1.99"/>
    <n v="518"/>
    <x v="0"/>
    <n v="4617"/>
  </r>
  <r>
    <n v="171"/>
    <n v="2009"/>
    <x v="1"/>
    <x v="525"/>
    <x v="367"/>
    <s v="en-GB"/>
    <x v="2"/>
    <n v="3.81"/>
    <x v="525"/>
    <x v="0"/>
    <n v="5200.6499999999996"/>
    <n v="3120.39"/>
    <n v="8.89"/>
    <n v="183"/>
    <x v="3"/>
    <n v="585"/>
  </r>
  <r>
    <n v="123"/>
    <n v="2010"/>
    <x v="1"/>
    <x v="526"/>
    <x v="368"/>
    <s v="en-US"/>
    <x v="2"/>
    <n v="3.73"/>
    <x v="526"/>
    <x v="0"/>
    <n v="6871.4"/>
    <n v="4122.84"/>
    <n v="7.99"/>
    <n v="128"/>
    <x v="6"/>
    <n v="860"/>
  </r>
  <r>
    <n v="127"/>
    <n v="2001"/>
    <x v="1"/>
    <x v="527"/>
    <x v="368"/>
    <s v="eng"/>
    <x v="2"/>
    <n v="3.78"/>
    <x v="527"/>
    <x v="0"/>
    <n v="816.75"/>
    <n v="0"/>
    <n v="0.99"/>
    <n v="135"/>
    <x v="0"/>
    <n v="825"/>
  </r>
  <r>
    <n v="56"/>
    <n v="2002"/>
    <x v="1"/>
    <x v="528"/>
    <x v="369"/>
    <s v="eng"/>
    <x v="2"/>
    <n v="3.9"/>
    <x v="528"/>
    <x v="0"/>
    <n v="1629.54"/>
    <n v="977.72400000000005"/>
    <n v="0.99"/>
    <n v="58"/>
    <x v="0"/>
    <n v="1646"/>
  </r>
  <r>
    <n v="624"/>
    <n v="2003"/>
    <x v="1"/>
    <x v="529"/>
    <x v="370"/>
    <s v="en-US"/>
    <x v="2"/>
    <n v="3.99"/>
    <x v="529"/>
    <x v="0"/>
    <n v="127.71"/>
    <n v="0"/>
    <n v="0.99"/>
    <n v="709"/>
    <x v="0"/>
    <n v="47736"/>
  </r>
  <r>
    <n v="767"/>
    <n v="2004"/>
    <x v="1"/>
    <x v="530"/>
    <x v="370"/>
    <s v="en-US"/>
    <x v="0"/>
    <n v="4.09"/>
    <x v="530"/>
    <x v="1"/>
    <n v="810.84"/>
    <n v="486.50400000000002"/>
    <n v="6.99"/>
    <n v="886"/>
    <x v="1"/>
    <n v="29808"/>
  </r>
  <r>
    <n v="1023"/>
    <n v="2006"/>
    <x v="1"/>
    <x v="531"/>
    <x v="370"/>
    <s v="eng"/>
    <x v="0"/>
    <n v="4.24"/>
    <x v="531"/>
    <x v="0"/>
    <n v="1272.23"/>
    <n v="763.33799999999997"/>
    <n v="11.89"/>
    <n v="1207"/>
    <x v="8"/>
    <n v="107"/>
  </r>
  <r>
    <n v="270"/>
    <n v="2009"/>
    <x v="1"/>
    <x v="532"/>
    <x v="371"/>
    <s v="eng"/>
    <x v="2"/>
    <n v="3.88"/>
    <x v="532"/>
    <x v="0"/>
    <n v="346.5"/>
    <n v="0"/>
    <n v="0.99"/>
    <n v="290"/>
    <x v="0"/>
    <n v="350"/>
  </r>
  <r>
    <n v="122"/>
    <n v="1995"/>
    <x v="0"/>
    <x v="533"/>
    <x v="372"/>
    <s v="en-US"/>
    <x v="2"/>
    <n v="4.08"/>
    <x v="533"/>
    <x v="0"/>
    <n v="3451.35"/>
    <n v="0"/>
    <n v="3.99"/>
    <n v="127"/>
    <x v="0"/>
    <n v="865"/>
  </r>
  <r>
    <n v="104"/>
    <n v="1991"/>
    <x v="0"/>
    <x v="534"/>
    <x v="373"/>
    <s v="eng"/>
    <x v="2"/>
    <n v="3.88"/>
    <x v="534"/>
    <x v="0"/>
    <n v="10224"/>
    <n v="6134.4"/>
    <n v="10.65"/>
    <n v="108"/>
    <x v="2"/>
    <n v="960"/>
  </r>
  <r>
    <n v="614"/>
    <n v="1996"/>
    <x v="0"/>
    <x v="535"/>
    <x v="374"/>
    <s v="eng"/>
    <x v="2"/>
    <n v="3.7"/>
    <x v="535"/>
    <x v="0"/>
    <n v="1395.15"/>
    <n v="837.09"/>
    <n v="10.65"/>
    <n v="698"/>
    <x v="7"/>
    <n v="49680"/>
  </r>
  <r>
    <n v="374"/>
    <n v="1978"/>
    <x v="0"/>
    <x v="536"/>
    <x v="375"/>
    <s v="eng"/>
    <x v="0"/>
    <n v="4.1500000000000004"/>
    <x v="536"/>
    <x v="0"/>
    <n v="1662.78"/>
    <n v="997.66800000000001"/>
    <n v="7.49"/>
    <n v="406"/>
    <x v="2"/>
    <n v="5994"/>
  </r>
  <r>
    <n v="130"/>
    <n v="1972"/>
    <x v="0"/>
    <x v="537"/>
    <x v="376"/>
    <s v="en-CA"/>
    <x v="2"/>
    <n v="4.22"/>
    <x v="537"/>
    <x v="0"/>
    <n v="2421.9"/>
    <n v="0"/>
    <n v="2.99"/>
    <n v="138"/>
    <x v="0"/>
    <n v="810"/>
  </r>
  <r>
    <n v="90"/>
    <n v="1970"/>
    <x v="0"/>
    <x v="538"/>
    <x v="377"/>
    <s v="eng"/>
    <x v="2"/>
    <n v="3.89"/>
    <x v="538"/>
    <x v="0"/>
    <n v="1111.77"/>
    <n v="0"/>
    <n v="0.99"/>
    <n v="92"/>
    <x v="0"/>
    <n v="1123"/>
  </r>
  <r>
    <n v="468"/>
    <n v="1972"/>
    <x v="0"/>
    <x v="539"/>
    <x v="377"/>
    <s v="eng"/>
    <x v="0"/>
    <n v="4.09"/>
    <x v="539"/>
    <x v="0"/>
    <n v="508.3"/>
    <n v="304.98"/>
    <n v="2.99"/>
    <n v="519"/>
    <x v="2"/>
    <n v="4590"/>
  </r>
  <r>
    <n v="690"/>
    <n v="1998"/>
    <x v="0"/>
    <x v="540"/>
    <x v="377"/>
    <m/>
    <x v="2"/>
    <n v="3.83"/>
    <x v="540"/>
    <x v="0"/>
    <n v="862.58"/>
    <n v="517.548"/>
    <n v="7.31"/>
    <n v="794"/>
    <x v="2"/>
    <n v="36504"/>
  </r>
  <r>
    <n v="441"/>
    <n v="1864"/>
    <x v="2"/>
    <x v="541"/>
    <x v="378"/>
    <s v="eng"/>
    <x v="2"/>
    <n v="3.84"/>
    <x v="541"/>
    <x v="1"/>
    <n v="1726.2"/>
    <n v="1035.72"/>
    <n v="9.59"/>
    <n v="489"/>
    <x v="3"/>
    <n v="4860"/>
  </r>
  <r>
    <n v="168"/>
    <n v="1869"/>
    <x v="2"/>
    <x v="542"/>
    <x v="379"/>
    <s v="eng"/>
    <x v="2"/>
    <n v="3.86"/>
    <x v="542"/>
    <x v="0"/>
    <n v="3540.25"/>
    <n v="0"/>
    <n v="5.95"/>
    <n v="181"/>
    <x v="0"/>
    <n v="595"/>
  </r>
  <r>
    <n v="175"/>
    <n v="1872"/>
    <x v="2"/>
    <x v="543"/>
    <x v="380"/>
    <s v="eng"/>
    <x v="2"/>
    <n v="3.9"/>
    <x v="267"/>
    <x v="0"/>
    <n v="4434.45"/>
    <n v="2660.67"/>
    <n v="7.99"/>
    <n v="189"/>
    <x v="2"/>
    <n v="555"/>
  </r>
  <r>
    <n v="870"/>
    <n v="1992"/>
    <x v="0"/>
    <x v="544"/>
    <x v="381"/>
    <s v="eng"/>
    <x v="2"/>
    <n v="3.89"/>
    <x v="543"/>
    <x v="0"/>
    <n v="670.88"/>
    <n v="0"/>
    <n v="5.99"/>
    <n v="1020"/>
    <x v="0"/>
    <n v="4480"/>
  </r>
  <r>
    <n v="910"/>
    <n v="2006"/>
    <x v="1"/>
    <x v="545"/>
    <x v="382"/>
    <s v="eng"/>
    <x v="0"/>
    <n v="4.16"/>
    <x v="544"/>
    <x v="0"/>
    <n v="1330.89"/>
    <n v="798.53399999999999"/>
    <n v="11.99"/>
    <n v="1066"/>
    <x v="2"/>
    <n v="4400"/>
  </r>
  <r>
    <n v="291"/>
    <n v="2011"/>
    <x v="1"/>
    <x v="546"/>
    <x v="383"/>
    <s v="eng"/>
    <x v="2"/>
    <n v="3.7"/>
    <x v="545"/>
    <x v="0"/>
    <n v="306.89999999999998"/>
    <n v="0"/>
    <n v="0.99"/>
    <n v="314"/>
    <x v="0"/>
    <n v="310"/>
  </r>
  <r>
    <n v="225"/>
    <n v="2010"/>
    <x v="1"/>
    <x v="547"/>
    <x v="384"/>
    <s v="eng"/>
    <x v="2"/>
    <n v="3.92"/>
    <x v="546"/>
    <x v="0"/>
    <n v="420.75"/>
    <n v="252.45"/>
    <n v="0.99"/>
    <n v="245"/>
    <x v="3"/>
    <n v="425"/>
  </r>
  <r>
    <n v="906"/>
    <n v="2010"/>
    <x v="1"/>
    <x v="548"/>
    <x v="384"/>
    <s v="eng"/>
    <x v="0"/>
    <n v="4.13"/>
    <x v="547"/>
    <x v="0"/>
    <n v="331.89"/>
    <n v="0"/>
    <n v="2.99"/>
    <n v="1060"/>
    <x v="0"/>
    <n v="4400"/>
  </r>
  <r>
    <n v="1010"/>
    <n v="2011"/>
    <x v="1"/>
    <x v="549"/>
    <x v="384"/>
    <s v="eng"/>
    <x v="0"/>
    <n v="4.24"/>
    <x v="548"/>
    <x v="1"/>
    <n v="430.92"/>
    <n v="0"/>
    <n v="3.99"/>
    <n v="1196"/>
    <x v="0"/>
    <n v="108"/>
  </r>
  <r>
    <n v="179"/>
    <n v="2005"/>
    <x v="1"/>
    <x v="550"/>
    <x v="385"/>
    <s v="eng"/>
    <x v="2"/>
    <n v="3.67"/>
    <x v="549"/>
    <x v="1"/>
    <n v="1599.65"/>
    <n v="959.79"/>
    <n v="2.99"/>
    <n v="193"/>
    <x v="6"/>
    <n v="535"/>
  </r>
  <r>
    <n v="956"/>
    <n v="1991"/>
    <x v="0"/>
    <x v="551"/>
    <x v="386"/>
    <s v="en-US"/>
    <x v="0"/>
    <n v="4.2300000000000004"/>
    <x v="550"/>
    <x v="1"/>
    <n v="434.91"/>
    <n v="260.94600000000003"/>
    <n v="3.99"/>
    <n v="1129"/>
    <x v="5"/>
    <n v="4280"/>
  </r>
  <r>
    <n v="750"/>
    <n v="2012"/>
    <x v="1"/>
    <x v="552"/>
    <x v="387"/>
    <s v="eng"/>
    <x v="2"/>
    <n v="3.75"/>
    <x v="551"/>
    <x v="1"/>
    <n v="624.08000000000004"/>
    <n v="374.44799999999998"/>
    <n v="5.38"/>
    <n v="865"/>
    <x v="0"/>
    <n v="31536"/>
  </r>
  <r>
    <n v="134"/>
    <n v="2010"/>
    <x v="1"/>
    <x v="553"/>
    <x v="388"/>
    <s v="eng"/>
    <x v="2"/>
    <n v="4.04"/>
    <x v="552"/>
    <x v="0"/>
    <n v="3172.05"/>
    <n v="0"/>
    <n v="3.99"/>
    <n v="141"/>
    <x v="0"/>
    <n v="795"/>
  </r>
  <r>
    <n v="986"/>
    <n v="2012"/>
    <x v="1"/>
    <x v="554"/>
    <x v="388"/>
    <s v="eng"/>
    <x v="2"/>
    <n v="3.98"/>
    <x v="553"/>
    <x v="0"/>
    <n v="538.91999999999996"/>
    <n v="0"/>
    <n v="4.99"/>
    <n v="1164"/>
    <x v="0"/>
    <n v="108"/>
  </r>
  <r>
    <n v="256"/>
    <n v="2010"/>
    <x v="1"/>
    <x v="555"/>
    <x v="389"/>
    <m/>
    <x v="2"/>
    <n v="3.98"/>
    <x v="554"/>
    <x v="1"/>
    <n v="2775"/>
    <n v="1665"/>
    <n v="7.5"/>
    <n v="278"/>
    <x v="7"/>
    <n v="370"/>
  </r>
  <r>
    <n v="616"/>
    <n v="2010"/>
    <x v="1"/>
    <x v="556"/>
    <x v="390"/>
    <s v="en-US"/>
    <x v="2"/>
    <n v="3.84"/>
    <x v="555"/>
    <x v="1"/>
    <n v="260.69"/>
    <n v="156.41399999999999"/>
    <n v="1.99"/>
    <n v="700"/>
    <x v="8"/>
    <n v="49248"/>
  </r>
  <r>
    <n v="894"/>
    <n v="2011"/>
    <x v="1"/>
    <x v="557"/>
    <x v="391"/>
    <s v="en-US"/>
    <x v="2"/>
    <n v="3.95"/>
    <x v="556"/>
    <x v="0"/>
    <n v="222.88"/>
    <n v="133.72800000000001"/>
    <n v="1.99"/>
    <n v="1050"/>
    <x v="7"/>
    <n v="4400"/>
  </r>
  <r>
    <n v="681"/>
    <n v="2013"/>
    <x v="1"/>
    <x v="558"/>
    <x v="392"/>
    <s v="eng"/>
    <x v="2"/>
    <n v="3.71"/>
    <x v="99"/>
    <x v="0"/>
    <n v="355.81"/>
    <n v="0"/>
    <n v="2.99"/>
    <n v="783"/>
    <x v="0"/>
    <n v="37152"/>
  </r>
  <r>
    <n v="539"/>
    <n v="2006"/>
    <x v="1"/>
    <x v="559"/>
    <x v="393"/>
    <s v="eng"/>
    <x v="0"/>
    <n v="4.1399999999999997"/>
    <x v="557"/>
    <x v="0"/>
    <n v="1618.8"/>
    <n v="971.28"/>
    <n v="10.65"/>
    <n v="601"/>
    <x v="2"/>
    <n v="4104"/>
  </r>
  <r>
    <n v="908"/>
    <n v="2012"/>
    <x v="1"/>
    <x v="560"/>
    <x v="394"/>
    <s v="eng"/>
    <x v="2"/>
    <n v="3.64"/>
    <x v="558"/>
    <x v="0"/>
    <n v="1314.24"/>
    <n v="788.54399999999998"/>
    <n v="11.84"/>
    <n v="1062"/>
    <x v="6"/>
    <n v="4400"/>
  </r>
  <r>
    <n v="814"/>
    <n v="2015"/>
    <x v="1"/>
    <x v="561"/>
    <x v="395"/>
    <s v="eng"/>
    <x v="2"/>
    <n v="3.95"/>
    <x v="559"/>
    <x v="0"/>
    <n v="226.86"/>
    <n v="0"/>
    <n v="1.99"/>
    <n v="952"/>
    <x v="0"/>
    <n v="2916"/>
  </r>
  <r>
    <n v="901"/>
    <n v="1848"/>
    <x v="2"/>
    <x v="562"/>
    <x v="396"/>
    <s v="eng"/>
    <x v="2"/>
    <n v="3.51"/>
    <x v="560"/>
    <x v="0"/>
    <n v="331.89"/>
    <n v="0"/>
    <n v="2.99"/>
    <n v="1057"/>
    <x v="0"/>
    <n v="4400"/>
  </r>
  <r>
    <n v="20"/>
    <n v="2013"/>
    <x v="1"/>
    <x v="563"/>
    <x v="397"/>
    <s v="eng"/>
    <x v="2"/>
    <n v="3.74"/>
    <x v="561"/>
    <x v="0"/>
    <n v="11702.67"/>
    <n v="0"/>
    <n v="3.99"/>
    <n v="21"/>
    <x v="0"/>
    <n v="2933"/>
  </r>
  <r>
    <n v="251"/>
    <n v="1899"/>
    <x v="2"/>
    <x v="564"/>
    <x v="398"/>
    <s v="eng"/>
    <x v="2"/>
    <n v="3.63"/>
    <x v="562"/>
    <x v="0"/>
    <n v="371.25"/>
    <n v="0"/>
    <n v="0.99"/>
    <n v="275"/>
    <x v="0"/>
    <n v="375"/>
  </r>
  <r>
    <n v="63"/>
    <n v="2000"/>
    <x v="1"/>
    <x v="565"/>
    <x v="399"/>
    <s v="eng"/>
    <x v="2"/>
    <n v="4"/>
    <x v="563"/>
    <x v="0"/>
    <n v="1522.62"/>
    <n v="0"/>
    <n v="0.99"/>
    <n v="65"/>
    <x v="0"/>
    <n v="1538"/>
  </r>
  <r>
    <n v="489"/>
    <n v="2004"/>
    <x v="1"/>
    <x v="566"/>
    <x v="400"/>
    <s v="en-US"/>
    <x v="2"/>
    <n v="4"/>
    <x v="564"/>
    <x v="0"/>
    <n v="1153.3499999999999"/>
    <n v="692.01"/>
    <n v="6.99"/>
    <n v="541"/>
    <x v="2"/>
    <n v="4455"/>
  </r>
  <r>
    <n v="82"/>
    <n v="2008"/>
    <x v="1"/>
    <x v="567"/>
    <x v="401"/>
    <s v="en-GB"/>
    <x v="2"/>
    <n v="4.12"/>
    <x v="565"/>
    <x v="0"/>
    <n v="4907.7"/>
    <n v="0"/>
    <n v="3.99"/>
    <n v="85"/>
    <x v="0"/>
    <n v="1230"/>
  </r>
  <r>
    <n v="481"/>
    <n v="2012"/>
    <x v="1"/>
    <x v="568"/>
    <x v="401"/>
    <m/>
    <x v="0"/>
    <n v="4.13"/>
    <x v="566"/>
    <x v="0"/>
    <n v="332.33"/>
    <n v="199.398"/>
    <n v="1.99"/>
    <n v="532"/>
    <x v="8"/>
    <n v="4509"/>
  </r>
  <r>
    <n v="830"/>
    <n v="2006"/>
    <x v="1"/>
    <x v="569"/>
    <x v="401"/>
    <s v="eng"/>
    <x v="2"/>
    <n v="3.93"/>
    <x v="567"/>
    <x v="0"/>
    <n v="228"/>
    <n v="0"/>
    <n v="2"/>
    <n v="970"/>
    <x v="0"/>
    <n v="2889"/>
  </r>
  <r>
    <n v="516"/>
    <n v="2012"/>
    <x v="1"/>
    <x v="570"/>
    <x v="402"/>
    <s v="eng"/>
    <x v="0"/>
    <n v="4.24"/>
    <x v="568"/>
    <x v="0"/>
    <n v="475.41"/>
    <n v="0"/>
    <n v="2.99"/>
    <n v="572"/>
    <x v="0"/>
    <n v="4293"/>
  </r>
  <r>
    <n v="721"/>
    <n v="2012"/>
    <x v="1"/>
    <x v="571"/>
    <x v="403"/>
    <s v="en-US"/>
    <x v="2"/>
    <n v="3.97"/>
    <x v="569"/>
    <x v="2"/>
    <n v="934.83"/>
    <n v="560.89800000000002"/>
    <n v="7.99"/>
    <n v="827"/>
    <x v="6"/>
    <n v="34344"/>
  </r>
  <r>
    <n v="391"/>
    <n v="1997"/>
    <x v="0"/>
    <x v="572"/>
    <x v="404"/>
    <s v="eng"/>
    <x v="2"/>
    <n v="3.86"/>
    <x v="570"/>
    <x v="0"/>
    <n v="1062.8699999999999"/>
    <n v="637.72199999999998"/>
    <n v="4.99"/>
    <n v="424"/>
    <x v="7"/>
    <n v="5751"/>
  </r>
  <r>
    <n v="754"/>
    <n v="2012"/>
    <x v="1"/>
    <x v="573"/>
    <x v="405"/>
    <s v="eng"/>
    <x v="0"/>
    <n v="4.08"/>
    <x v="571"/>
    <x v="0"/>
    <n v="462.84"/>
    <n v="0"/>
    <n v="3.99"/>
    <n v="869"/>
    <x v="0"/>
    <n v="31320"/>
  </r>
  <r>
    <n v="289"/>
    <n v="1989"/>
    <x v="0"/>
    <x v="574"/>
    <x v="406"/>
    <s v="eng"/>
    <x v="0"/>
    <n v="4.0999999999999996"/>
    <x v="572"/>
    <x v="1"/>
    <n v="1874.87"/>
    <n v="1124.922"/>
    <n v="5.99"/>
    <n v="312"/>
    <x v="6"/>
    <n v="313"/>
  </r>
  <r>
    <n v="778"/>
    <n v="2010"/>
    <x v="1"/>
    <x v="575"/>
    <x v="407"/>
    <s v="en-GB"/>
    <x v="2"/>
    <n v="3.84"/>
    <x v="573"/>
    <x v="0"/>
    <n v="926.84"/>
    <n v="556.10400000000004"/>
    <n v="7.99"/>
    <n v="900"/>
    <x v="6"/>
    <n v="28512"/>
  </r>
  <r>
    <n v="349"/>
    <n v="2008"/>
    <x v="1"/>
    <x v="576"/>
    <x v="408"/>
    <s v="en-US"/>
    <x v="0"/>
    <n v="4.03"/>
    <x v="574"/>
    <x v="0"/>
    <n v="471.63"/>
    <n v="0"/>
    <n v="1.99"/>
    <n v="376"/>
    <x v="0"/>
    <n v="237"/>
  </r>
  <r>
    <n v="696"/>
    <n v="2009"/>
    <x v="1"/>
    <x v="564"/>
    <x v="408"/>
    <s v="eng"/>
    <x v="0"/>
    <n v="4.16"/>
    <x v="575"/>
    <x v="0"/>
    <n v="761.1"/>
    <n v="456.66"/>
    <n v="6.45"/>
    <n v="802"/>
    <x v="1"/>
    <n v="36072"/>
  </r>
  <r>
    <n v="720"/>
    <n v="2010"/>
    <x v="1"/>
    <x v="577"/>
    <x v="408"/>
    <s v="en-GB"/>
    <x v="0"/>
    <n v="4.21"/>
    <x v="576"/>
    <x v="0"/>
    <n v="466.83"/>
    <n v="0"/>
    <n v="3.99"/>
    <n v="826"/>
    <x v="0"/>
    <n v="34560"/>
  </r>
  <r>
    <n v="111"/>
    <n v="2007"/>
    <x v="1"/>
    <x v="578"/>
    <x v="409"/>
    <s v="eng"/>
    <x v="2"/>
    <n v="4.2300000000000004"/>
    <x v="577"/>
    <x v="0"/>
    <n v="905.85"/>
    <n v="543.51"/>
    <n v="0.99"/>
    <n v="117"/>
    <x v="6"/>
    <n v="915"/>
  </r>
  <r>
    <n v="351"/>
    <n v="1978"/>
    <x v="0"/>
    <x v="579"/>
    <x v="409"/>
    <s v="en-US"/>
    <x v="0"/>
    <n v="4.16"/>
    <x v="578"/>
    <x v="2"/>
    <n v="708.63"/>
    <n v="0"/>
    <n v="2.99"/>
    <n v="376"/>
    <x v="0"/>
    <n v="237"/>
  </r>
  <r>
    <n v="550"/>
    <n v="2012"/>
    <x v="1"/>
    <x v="580"/>
    <x v="409"/>
    <s v="eng"/>
    <x v="0"/>
    <n v="4.29"/>
    <x v="579"/>
    <x v="1"/>
    <n v="1488.51"/>
    <n v="893.10599999999999"/>
    <n v="9.99"/>
    <n v="616"/>
    <x v="4"/>
    <n v="4023"/>
  </r>
  <r>
    <n v="295"/>
    <n v="1908"/>
    <x v="0"/>
    <x v="581"/>
    <x v="410"/>
    <s v="eng"/>
    <x v="2"/>
    <n v="3.98"/>
    <x v="580"/>
    <x v="0"/>
    <n v="10327.299999999999"/>
    <n v="6196.38"/>
    <n v="33.86"/>
    <n v="317"/>
    <x v="2"/>
    <n v="305"/>
  </r>
  <r>
    <n v="626"/>
    <n v="1981"/>
    <x v="0"/>
    <x v="582"/>
    <x v="411"/>
    <s v="en-US"/>
    <x v="2"/>
    <n v="3.85"/>
    <x v="581"/>
    <x v="3"/>
    <n v="888.32"/>
    <n v="532.99199999999996"/>
    <n v="6.94"/>
    <n v="710"/>
    <x v="0"/>
    <n v="47520"/>
  </r>
  <r>
    <n v="755"/>
    <n v="2001"/>
    <x v="1"/>
    <x v="583"/>
    <x v="412"/>
    <s v="eng"/>
    <x v="2"/>
    <n v="3.85"/>
    <x v="582"/>
    <x v="0"/>
    <n v="114.84"/>
    <n v="68.903999999999996"/>
    <n v="0.99"/>
    <n v="869"/>
    <x v="6"/>
    <n v="31320"/>
  </r>
  <r>
    <n v="531"/>
    <n v="2015"/>
    <x v="1"/>
    <x v="584"/>
    <x v="413"/>
    <s v="eng"/>
    <x v="2"/>
    <n v="3.85"/>
    <x v="583"/>
    <x v="0"/>
    <n v="614.46"/>
    <n v="0"/>
    <n v="3.99"/>
    <n v="592"/>
    <x v="0"/>
    <n v="4158"/>
  </r>
  <r>
    <n v="742"/>
    <n v="2004"/>
    <x v="1"/>
    <x v="585"/>
    <x v="414"/>
    <s v="en-US"/>
    <x v="0"/>
    <n v="4.04"/>
    <x v="584"/>
    <x v="1"/>
    <n v="349.83"/>
    <n v="0"/>
    <n v="2.99"/>
    <n v="852"/>
    <x v="0"/>
    <n v="32184"/>
  </r>
  <r>
    <n v="408"/>
    <n v="2013"/>
    <x v="1"/>
    <x v="586"/>
    <x v="415"/>
    <s v="eng"/>
    <x v="2"/>
    <n v="3.82"/>
    <x v="585"/>
    <x v="1"/>
    <n v="198.99"/>
    <n v="119.39400000000001"/>
    <n v="0.99"/>
    <n v="447"/>
    <x v="0"/>
    <n v="5427"/>
  </r>
  <r>
    <n v="299"/>
    <n v="2010"/>
    <x v="1"/>
    <x v="587"/>
    <x v="416"/>
    <s v="en-US"/>
    <x v="2"/>
    <n v="3.86"/>
    <x v="586"/>
    <x v="0"/>
    <n v="1181.04"/>
    <n v="0"/>
    <n v="3.99"/>
    <n v="322"/>
    <x v="0"/>
    <n v="296"/>
  </r>
  <r>
    <n v="402"/>
    <n v="2009"/>
    <x v="1"/>
    <x v="588"/>
    <x v="417"/>
    <s v="en-US"/>
    <x v="0"/>
    <n v="4.12"/>
    <x v="587"/>
    <x v="0"/>
    <n v="2457.9499999999998"/>
    <n v="1474.77"/>
    <n v="11.99"/>
    <n v="439"/>
    <x v="2"/>
    <n v="5535"/>
  </r>
  <r>
    <n v="161"/>
    <n v="2008"/>
    <x v="1"/>
    <x v="589"/>
    <x v="418"/>
    <s v="en-US"/>
    <x v="2"/>
    <n v="4.04"/>
    <x v="588"/>
    <x v="0"/>
    <n v="3218.55"/>
    <n v="0"/>
    <n v="4.99"/>
    <n v="171"/>
    <x v="0"/>
    <n v="645"/>
  </r>
  <r>
    <n v="875"/>
    <n v="2009"/>
    <x v="1"/>
    <x v="590"/>
    <x v="418"/>
    <s v="en-GB"/>
    <x v="0"/>
    <n v="4.13"/>
    <x v="589"/>
    <x v="0"/>
    <n v="334.88"/>
    <n v="0"/>
    <n v="2.99"/>
    <n v="1027"/>
    <x v="0"/>
    <n v="4480"/>
  </r>
  <r>
    <n v="1068"/>
    <n v="2011"/>
    <x v="1"/>
    <x v="591"/>
    <x v="418"/>
    <s v="en-US"/>
    <x v="0"/>
    <n v="4.17"/>
    <x v="590"/>
    <x v="0"/>
    <n v="104.94"/>
    <n v="62.963999999999999"/>
    <n v="0.99"/>
    <n v="1272"/>
    <x v="0"/>
    <n v="106"/>
  </r>
  <r>
    <n v="543"/>
    <n v="1959"/>
    <x v="0"/>
    <x v="592"/>
    <x v="419"/>
    <s v="en-GB"/>
    <x v="0"/>
    <n v="4.16"/>
    <x v="289"/>
    <x v="0"/>
    <n v="151"/>
    <n v="90.6"/>
    <n v="1"/>
    <n v="607"/>
    <x v="0"/>
    <n v="4077"/>
  </r>
  <r>
    <n v="427"/>
    <n v="1908"/>
    <x v="0"/>
    <x v="593"/>
    <x v="420"/>
    <m/>
    <x v="3"/>
    <n v="4.42"/>
    <x v="591"/>
    <x v="0"/>
    <n v="1510.11"/>
    <n v="906.06600000000003"/>
    <n v="7.99"/>
    <n v="472"/>
    <x v="6"/>
    <n v="5103"/>
  </r>
  <r>
    <n v="581"/>
    <n v="1915"/>
    <x v="0"/>
    <x v="594"/>
    <x v="420"/>
    <s v="eng"/>
    <x v="0"/>
    <n v="4.21"/>
    <x v="592"/>
    <x v="0"/>
    <n v="139.59"/>
    <n v="83.754000000000005"/>
    <n v="0.99"/>
    <n v="652"/>
    <x v="6"/>
    <n v="60696"/>
  </r>
  <r>
    <n v="679"/>
    <n v="1909"/>
    <x v="0"/>
    <x v="595"/>
    <x v="420"/>
    <s v="en-US"/>
    <x v="0"/>
    <n v="4.21"/>
    <x v="593"/>
    <x v="0"/>
    <n v="117.81"/>
    <n v="70.686000000000007"/>
    <n v="0.99"/>
    <n v="782"/>
    <x v="0"/>
    <n v="37368"/>
  </r>
  <r>
    <n v="4"/>
    <n v="2011"/>
    <x v="1"/>
    <x v="596"/>
    <x v="421"/>
    <s v="eng"/>
    <x v="2"/>
    <n v="4.04"/>
    <x v="594"/>
    <x v="0"/>
    <n v="37952.5"/>
    <n v="22771.5"/>
    <n v="7.99"/>
    <n v="4"/>
    <x v="2"/>
    <n v="4750"/>
  </r>
  <r>
    <n v="971"/>
    <n v="2012"/>
    <x v="1"/>
    <x v="597"/>
    <x v="421"/>
    <s v="en-CA"/>
    <x v="0"/>
    <n v="4.21"/>
    <x v="595"/>
    <x v="0"/>
    <n v="325.91000000000003"/>
    <n v="195.54599999999999"/>
    <n v="2.99"/>
    <n v="1148"/>
    <x v="0"/>
    <n v="4240"/>
  </r>
  <r>
    <n v="568"/>
    <n v="-300"/>
    <x v="2"/>
    <x v="598"/>
    <x v="422"/>
    <s v="eng"/>
    <x v="0"/>
    <n v="4.3099999999999996"/>
    <x v="596"/>
    <x v="0"/>
    <n v="665.55"/>
    <n v="399.33"/>
    <n v="4.59"/>
    <n v="632"/>
    <x v="2"/>
    <n v="3915"/>
  </r>
  <r>
    <n v="226"/>
    <n v="1985"/>
    <x v="0"/>
    <x v="599"/>
    <x v="423"/>
    <s v="en-US"/>
    <x v="3"/>
    <n v="4.47"/>
    <x v="597"/>
    <x v="0"/>
    <n v="1687.77"/>
    <n v="0"/>
    <n v="3.99"/>
    <n v="246"/>
    <x v="0"/>
    <n v="423"/>
  </r>
  <r>
    <n v="660"/>
    <n v="1970"/>
    <x v="0"/>
    <x v="600"/>
    <x v="424"/>
    <s v="eng"/>
    <x v="2"/>
    <n v="3.96"/>
    <x v="598"/>
    <x v="0"/>
    <n v="117.81"/>
    <n v="70.686000000000007"/>
    <n v="0.99"/>
    <n v="760"/>
    <x v="0"/>
    <n v="40176"/>
  </r>
  <r>
    <n v="236"/>
    <n v="1999"/>
    <x v="0"/>
    <x v="601"/>
    <x v="425"/>
    <s v="en-US"/>
    <x v="2"/>
    <n v="4.2"/>
    <x v="599"/>
    <x v="0"/>
    <n v="1007.5"/>
    <n v="604.5"/>
    <n v="2.5"/>
    <n v="258"/>
    <x v="8"/>
    <n v="403"/>
  </r>
  <r>
    <n v="13"/>
    <n v="1935"/>
    <x v="0"/>
    <x v="602"/>
    <x v="426"/>
    <s v="eng"/>
    <x v="2"/>
    <n v="4.18"/>
    <x v="600"/>
    <x v="0"/>
    <n v="6897.34"/>
    <n v="4138.4040000000005"/>
    <n v="1.99"/>
    <n v="13"/>
    <x v="8"/>
    <n v="3466"/>
  </r>
  <r>
    <n v="150"/>
    <n v="1932"/>
    <x v="0"/>
    <x v="603"/>
    <x v="426"/>
    <s v="eng"/>
    <x v="2"/>
    <n v="4.16"/>
    <x v="601"/>
    <x v="0"/>
    <n v="697.95"/>
    <n v="418.77"/>
    <n v="0.99"/>
    <n v="159"/>
    <x v="0"/>
    <n v="705"/>
  </r>
  <r>
    <n v="209"/>
    <n v="1953"/>
    <x v="0"/>
    <x v="604"/>
    <x v="426"/>
    <m/>
    <x v="2"/>
    <n v="4.33"/>
    <x v="602"/>
    <x v="0"/>
    <n v="5195.91"/>
    <n v="3117.5459999999998"/>
    <n v="11.47"/>
    <n v="228"/>
    <x v="6"/>
    <n v="453"/>
  </r>
  <r>
    <n v="555"/>
    <n v="1993"/>
    <x v="0"/>
    <x v="605"/>
    <x v="427"/>
    <s v="eng"/>
    <x v="0"/>
    <n v="4.0199999999999996"/>
    <x v="603"/>
    <x v="0"/>
    <n v="442.52"/>
    <n v="0"/>
    <n v="2.99"/>
    <n v="622"/>
    <x v="0"/>
    <n v="3996"/>
  </r>
  <r>
    <n v="1022"/>
    <n v="1995"/>
    <x v="0"/>
    <x v="606"/>
    <x v="427"/>
    <s v="en-US"/>
    <x v="0"/>
    <n v="4.16"/>
    <x v="604"/>
    <x v="2"/>
    <n v="426.93"/>
    <n v="256.15800000000002"/>
    <n v="3.99"/>
    <n v="1206"/>
    <x v="2"/>
    <n v="107"/>
  </r>
  <r>
    <n v="992"/>
    <n v="2011"/>
    <x v="1"/>
    <x v="607"/>
    <x v="428"/>
    <s v="eng"/>
    <x v="2"/>
    <n v="3.81"/>
    <x v="605"/>
    <x v="0"/>
    <n v="412.56"/>
    <n v="0"/>
    <n v="3.82"/>
    <n v="1169"/>
    <x v="0"/>
    <n v="108"/>
  </r>
  <r>
    <n v="689"/>
    <n v="2015"/>
    <x v="1"/>
    <x v="608"/>
    <x v="429"/>
    <s v="eng"/>
    <x v="2"/>
    <n v="3.56"/>
    <x v="606"/>
    <x v="0"/>
    <n v="862.58"/>
    <n v="517.548"/>
    <n v="7.31"/>
    <n v="792"/>
    <x v="8"/>
    <n v="36504"/>
  </r>
  <r>
    <n v="69"/>
    <n v="2010"/>
    <x v="1"/>
    <x v="609"/>
    <x v="430"/>
    <s v="eng"/>
    <x v="2"/>
    <n v="3.89"/>
    <x v="607"/>
    <x v="0"/>
    <n v="5705.7"/>
    <n v="0"/>
    <n v="3.99"/>
    <n v="72"/>
    <x v="0"/>
    <n v="1430"/>
  </r>
  <r>
    <n v="414"/>
    <n v="2011"/>
    <x v="1"/>
    <x v="610"/>
    <x v="430"/>
    <s v="eng"/>
    <x v="2"/>
    <n v="3.89"/>
    <x v="608"/>
    <x v="0"/>
    <n v="790.02"/>
    <n v="0"/>
    <n v="3.99"/>
    <n v="454"/>
    <x v="0"/>
    <n v="5346"/>
  </r>
  <r>
    <n v="1028"/>
    <n v="2012"/>
    <x v="1"/>
    <x v="611"/>
    <x v="430"/>
    <s v="eng"/>
    <x v="0"/>
    <n v="4.03"/>
    <x v="609"/>
    <x v="1"/>
    <n v="1282.93"/>
    <n v="769.75800000000004"/>
    <n v="11.99"/>
    <n v="1216"/>
    <x v="6"/>
    <n v="107"/>
  </r>
  <r>
    <n v="587"/>
    <n v="2013"/>
    <x v="1"/>
    <x v="612"/>
    <x v="431"/>
    <s v="eng"/>
    <x v="2"/>
    <n v="3.74"/>
    <x v="610"/>
    <x v="0"/>
    <n v="698.6"/>
    <n v="0"/>
    <n v="4.99"/>
    <n v="659"/>
    <x v="0"/>
    <n v="55080"/>
  </r>
  <r>
    <n v="886"/>
    <n v="2008"/>
    <x v="1"/>
    <x v="613"/>
    <x v="432"/>
    <s v="eng"/>
    <x v="1"/>
    <n v="3.32"/>
    <x v="611"/>
    <x v="0"/>
    <n v="558.88"/>
    <n v="335.32799999999997"/>
    <n v="4.99"/>
    <n v="1042"/>
    <x v="6"/>
    <n v="4440"/>
  </r>
  <r>
    <n v="899"/>
    <n v="2005"/>
    <x v="1"/>
    <x v="614"/>
    <x v="432"/>
    <s v="en-US"/>
    <x v="1"/>
    <n v="3.39"/>
    <x v="612"/>
    <x v="0"/>
    <n v="109.89"/>
    <n v="0"/>
    <n v="0.99"/>
    <n v="1055"/>
    <x v="0"/>
    <n v="4400"/>
  </r>
  <r>
    <n v="713"/>
    <n v="2009"/>
    <x v="1"/>
    <x v="615"/>
    <x v="433"/>
    <s v="eng"/>
    <x v="2"/>
    <n v="3.98"/>
    <x v="613"/>
    <x v="0"/>
    <n v="352.82"/>
    <n v="0"/>
    <n v="2.99"/>
    <n v="819"/>
    <x v="0"/>
    <n v="34992"/>
  </r>
  <r>
    <n v="793"/>
    <n v="2000"/>
    <x v="1"/>
    <x v="616"/>
    <x v="433"/>
    <s v="en-US"/>
    <x v="2"/>
    <n v="3.89"/>
    <x v="614"/>
    <x v="0"/>
    <n v="458.85"/>
    <n v="0"/>
    <n v="3.99"/>
    <n v="918"/>
    <x v="0"/>
    <n v="2916"/>
  </r>
  <r>
    <n v="827"/>
    <n v="2005"/>
    <x v="1"/>
    <x v="617"/>
    <x v="434"/>
    <s v="eng"/>
    <x v="0"/>
    <n v="4.2"/>
    <x v="615"/>
    <x v="0"/>
    <n v="340.86"/>
    <n v="204.51599999999999"/>
    <n v="2.99"/>
    <n v="968"/>
    <x v="1"/>
    <n v="2889"/>
  </r>
  <r>
    <n v="893"/>
    <n v="1998"/>
    <x v="0"/>
    <x v="618"/>
    <x v="434"/>
    <s v="en-US"/>
    <x v="2"/>
    <n v="4"/>
    <x v="616"/>
    <x v="0"/>
    <n v="334.88"/>
    <n v="200.928"/>
    <n v="2.99"/>
    <n v="1050"/>
    <x v="3"/>
    <n v="4400"/>
  </r>
  <r>
    <n v="1069"/>
    <n v="1999"/>
    <x v="0"/>
    <x v="619"/>
    <x v="434"/>
    <s v="eng"/>
    <x v="0"/>
    <n v="4.07"/>
    <x v="617"/>
    <x v="0"/>
    <n v="316.94"/>
    <n v="0"/>
    <n v="2.99"/>
    <n v="1273"/>
    <x v="0"/>
    <n v="106"/>
  </r>
  <r>
    <n v="746"/>
    <n v="1988"/>
    <x v="0"/>
    <x v="620"/>
    <x v="435"/>
    <m/>
    <x v="0"/>
    <n v="4.0999999999999996"/>
    <x v="618"/>
    <x v="0"/>
    <n v="799.11"/>
    <n v="479.46600000000001"/>
    <n v="6.83"/>
    <n v="859"/>
    <x v="3"/>
    <n v="31752"/>
  </r>
  <r>
    <n v="469"/>
    <n v="2012"/>
    <x v="1"/>
    <x v="621"/>
    <x v="436"/>
    <s v="eng"/>
    <x v="0"/>
    <n v="4.05"/>
    <x v="619"/>
    <x v="2"/>
    <n v="678.3"/>
    <n v="0"/>
    <n v="3.99"/>
    <n v="519"/>
    <x v="0"/>
    <n v="4590"/>
  </r>
  <r>
    <n v="342"/>
    <n v="1999"/>
    <x v="0"/>
    <x v="622"/>
    <x v="437"/>
    <s v="eng"/>
    <x v="2"/>
    <n v="3.95"/>
    <x v="620"/>
    <x v="0"/>
    <n v="1202.5899999999999"/>
    <n v="721.55399999999997"/>
    <n v="4.99"/>
    <n v="367"/>
    <x v="1"/>
    <n v="241"/>
  </r>
  <r>
    <n v="502"/>
    <n v="2000"/>
    <x v="1"/>
    <x v="623"/>
    <x v="437"/>
    <s v="eng"/>
    <x v="2"/>
    <n v="3.91"/>
    <x v="621"/>
    <x v="0"/>
    <n v="161.37"/>
    <n v="96.822000000000003"/>
    <n v="0.99"/>
    <n v="554"/>
    <x v="0"/>
    <n v="4401"/>
  </r>
  <r>
    <n v="632"/>
    <n v="2000"/>
    <x v="1"/>
    <x v="624"/>
    <x v="437"/>
    <s v="en-US"/>
    <x v="2"/>
    <n v="3.83"/>
    <x v="622"/>
    <x v="0"/>
    <n v="1395.73"/>
    <n v="837.43799999999999"/>
    <n v="10.99"/>
    <n v="716"/>
    <x v="2"/>
    <n v="46872"/>
  </r>
  <r>
    <n v="694"/>
    <n v="2000"/>
    <x v="1"/>
    <x v="625"/>
    <x v="437"/>
    <s v="eng"/>
    <x v="2"/>
    <n v="3.97"/>
    <x v="623"/>
    <x v="0"/>
    <n v="116.82"/>
    <n v="0"/>
    <n v="0.99"/>
    <n v="799"/>
    <x v="0"/>
    <n v="36288"/>
  </r>
  <r>
    <n v="702"/>
    <n v="2001"/>
    <x v="1"/>
    <x v="626"/>
    <x v="437"/>
    <s v="eng"/>
    <x v="2"/>
    <n v="3.94"/>
    <x v="624"/>
    <x v="0"/>
    <n v="706.82"/>
    <n v="424.09199999999998"/>
    <n v="5.99"/>
    <n v="808"/>
    <x v="2"/>
    <n v="35640"/>
  </r>
  <r>
    <n v="758"/>
    <n v="2001"/>
    <x v="1"/>
    <x v="627"/>
    <x v="437"/>
    <s v="eng"/>
    <x v="0"/>
    <n v="4.01"/>
    <x v="625"/>
    <x v="1"/>
    <n v="230.84"/>
    <n v="138.50399999999999"/>
    <n v="1.99"/>
    <n v="873"/>
    <x v="6"/>
    <n v="31104"/>
  </r>
  <r>
    <n v="945"/>
    <n v="2003"/>
    <x v="1"/>
    <x v="628"/>
    <x v="437"/>
    <s v="en-US"/>
    <x v="2"/>
    <n v="4"/>
    <x v="626"/>
    <x v="0"/>
    <n v="988.9"/>
    <n v="593.34"/>
    <n v="8.99"/>
    <n v="1111"/>
    <x v="2"/>
    <n v="4320"/>
  </r>
  <r>
    <n v="1018"/>
    <n v="2002"/>
    <x v="1"/>
    <x v="629"/>
    <x v="437"/>
    <s v="en-US"/>
    <x v="2"/>
    <n v="3.97"/>
    <x v="627"/>
    <x v="0"/>
    <n v="105.93"/>
    <n v="0"/>
    <n v="0.99"/>
    <n v="1201"/>
    <x v="0"/>
    <n v="107"/>
  </r>
  <r>
    <n v="400"/>
    <n v="2014"/>
    <x v="1"/>
    <x v="630"/>
    <x v="438"/>
    <s v="eng"/>
    <x v="1"/>
    <n v="3.33"/>
    <x v="628"/>
    <x v="1"/>
    <n v="1245.92"/>
    <n v="747.55200000000002"/>
    <n v="5.99"/>
    <n v="434"/>
    <x v="6"/>
    <n v="5616"/>
  </r>
  <r>
    <n v="627"/>
    <n v="1958"/>
    <x v="0"/>
    <x v="631"/>
    <x v="439"/>
    <s v="eng"/>
    <x v="0"/>
    <n v="4.33"/>
    <x v="629"/>
    <x v="0"/>
    <n v="1470.72"/>
    <n v="882.43200000000002"/>
    <n v="11.49"/>
    <n v="711"/>
    <x v="6"/>
    <n v="47304"/>
  </r>
  <r>
    <n v="53"/>
    <n v="2009"/>
    <x v="1"/>
    <x v="632"/>
    <x v="440"/>
    <s v="eng"/>
    <x v="1"/>
    <n v="3.47"/>
    <x v="630"/>
    <x v="0"/>
    <n v="1675.08"/>
    <n v="1005.048"/>
    <n v="0.99"/>
    <n v="55"/>
    <x v="3"/>
    <n v="1692"/>
  </r>
  <r>
    <n v="955"/>
    <n v="1871"/>
    <x v="2"/>
    <x v="633"/>
    <x v="441"/>
    <s v="eng"/>
    <x v="0"/>
    <n v="4.0599999999999996"/>
    <x v="631"/>
    <x v="2"/>
    <n v="216.91"/>
    <n v="130.14599999999999"/>
    <n v="1.99"/>
    <n v="1128"/>
    <x v="1"/>
    <n v="4280"/>
  </r>
  <r>
    <n v="497"/>
    <n v="2016"/>
    <x v="1"/>
    <x v="634"/>
    <x v="442"/>
    <s v="eng"/>
    <x v="2"/>
    <n v="3.55"/>
    <x v="632"/>
    <x v="0"/>
    <n v="162.36000000000001"/>
    <n v="0"/>
    <n v="0.99"/>
    <n v="549"/>
    <x v="0"/>
    <n v="4428"/>
  </r>
  <r>
    <n v="55"/>
    <n v="2003"/>
    <x v="1"/>
    <x v="635"/>
    <x v="443"/>
    <s v="eng"/>
    <x v="2"/>
    <n v="3.79"/>
    <x v="633"/>
    <x v="0"/>
    <n v="4966.3900000000003"/>
    <n v="2979.8339999999998"/>
    <n v="2.99"/>
    <n v="57"/>
    <x v="2"/>
    <n v="1661"/>
  </r>
  <r>
    <n v="365"/>
    <n v="2003"/>
    <x v="1"/>
    <x v="636"/>
    <x v="444"/>
    <s v="eng"/>
    <x v="0"/>
    <n v="4.07"/>
    <x v="634"/>
    <x v="0"/>
    <n v="5902.92"/>
    <n v="3541.752"/>
    <n v="25.89"/>
    <n v="393"/>
    <x v="8"/>
    <n v="6156"/>
  </r>
  <r>
    <n v="294"/>
    <n v="2009"/>
    <x v="1"/>
    <x v="637"/>
    <x v="445"/>
    <s v="eng"/>
    <x v="2"/>
    <n v="3.87"/>
    <x v="635"/>
    <x v="1"/>
    <n v="2152.92"/>
    <n v="1291.752"/>
    <n v="6.99"/>
    <n v="315"/>
    <x v="2"/>
    <n v="308"/>
  </r>
  <r>
    <n v="325"/>
    <n v="2000"/>
    <x v="1"/>
    <x v="638"/>
    <x v="446"/>
    <s v="eng"/>
    <x v="2"/>
    <n v="3.8"/>
    <x v="636"/>
    <x v="0"/>
    <n v="997.5"/>
    <n v="0"/>
    <n v="3.99"/>
    <n v="350"/>
    <x v="0"/>
    <n v="250"/>
  </r>
  <r>
    <n v="759"/>
    <n v="2004"/>
    <x v="1"/>
    <x v="639"/>
    <x v="446"/>
    <s v="eng"/>
    <x v="2"/>
    <n v="3.9"/>
    <x v="637"/>
    <x v="0"/>
    <n v="462.84"/>
    <n v="277.70400000000001"/>
    <n v="3.99"/>
    <n v="877"/>
    <x v="0"/>
    <n v="30888"/>
  </r>
  <r>
    <n v="927"/>
    <n v="1994"/>
    <x v="0"/>
    <x v="640"/>
    <x v="447"/>
    <s v="eng"/>
    <x v="2"/>
    <n v="3.95"/>
    <x v="638"/>
    <x v="0"/>
    <n v="108.9"/>
    <n v="65.34"/>
    <n v="0.99"/>
    <n v="1091"/>
    <x v="0"/>
    <n v="4360"/>
  </r>
  <r>
    <n v="664"/>
    <n v="2012"/>
    <x v="1"/>
    <x v="641"/>
    <x v="448"/>
    <s v="eng"/>
    <x v="2"/>
    <n v="3.91"/>
    <x v="639"/>
    <x v="0"/>
    <n v="355.81"/>
    <n v="0"/>
    <n v="2.99"/>
    <n v="764"/>
    <x v="0"/>
    <n v="39312"/>
  </r>
  <r>
    <n v="318"/>
    <n v="1999"/>
    <x v="0"/>
    <x v="642"/>
    <x v="449"/>
    <s v="eng"/>
    <x v="2"/>
    <n v="3.74"/>
    <x v="640"/>
    <x v="0"/>
    <n v="997.5"/>
    <n v="0"/>
    <n v="3.75"/>
    <n v="340"/>
    <x v="0"/>
    <n v="266"/>
  </r>
  <r>
    <n v="148"/>
    <n v="1939"/>
    <x v="0"/>
    <x v="643"/>
    <x v="450"/>
    <s v="en-GB"/>
    <x v="2"/>
    <n v="4.22"/>
    <x v="641"/>
    <x v="0"/>
    <n v="712.8"/>
    <n v="0"/>
    <n v="0.99"/>
    <n v="156"/>
    <x v="0"/>
    <n v="720"/>
  </r>
  <r>
    <n v="842"/>
    <n v="1980"/>
    <x v="0"/>
    <x v="644"/>
    <x v="451"/>
    <s v="eng"/>
    <x v="2"/>
    <n v="3.89"/>
    <x v="642"/>
    <x v="0"/>
    <n v="450.87"/>
    <n v="0"/>
    <n v="3.99"/>
    <n v="985"/>
    <x v="0"/>
    <n v="2889"/>
  </r>
  <r>
    <n v="741"/>
    <n v="2003"/>
    <x v="1"/>
    <x v="645"/>
    <x v="452"/>
    <s v="en-US"/>
    <x v="2"/>
    <n v="3.86"/>
    <x v="643"/>
    <x v="0"/>
    <n v="466.83"/>
    <n v="0"/>
    <n v="3.99"/>
    <n v="852"/>
    <x v="0"/>
    <n v="32184"/>
  </r>
  <r>
    <n v="772"/>
    <n v="1978"/>
    <x v="0"/>
    <x v="646"/>
    <x v="453"/>
    <s v="en-US"/>
    <x v="0"/>
    <n v="4.03"/>
    <x v="644"/>
    <x v="1"/>
    <n v="1042.8399999999999"/>
    <n v="625.70399999999995"/>
    <n v="8.99"/>
    <n v="893"/>
    <x v="0"/>
    <n v="29160"/>
  </r>
  <r>
    <n v="355"/>
    <n v="2014"/>
    <x v="1"/>
    <x v="647"/>
    <x v="454"/>
    <s v="eng"/>
    <x v="2"/>
    <n v="3.93"/>
    <x v="645"/>
    <x v="0"/>
    <n v="463.67"/>
    <n v="278.202"/>
    <n v="1.99"/>
    <n v="383"/>
    <x v="1"/>
    <n v="233"/>
  </r>
  <r>
    <n v="665"/>
    <n v="1973"/>
    <x v="0"/>
    <x v="648"/>
    <x v="455"/>
    <s v="eng"/>
    <x v="0"/>
    <n v="4.07"/>
    <x v="646"/>
    <x v="0"/>
    <n v="355.81"/>
    <n v="0"/>
    <n v="2.99"/>
    <n v="765"/>
    <x v="0"/>
    <n v="39312"/>
  </r>
  <r>
    <n v="999"/>
    <n v="1978"/>
    <x v="0"/>
    <x v="649"/>
    <x v="455"/>
    <s v="eng"/>
    <x v="0"/>
    <n v="4.13"/>
    <x v="647"/>
    <x v="0"/>
    <n v="322.92"/>
    <n v="0"/>
    <n v="2.99"/>
    <n v="1182"/>
    <x v="0"/>
    <n v="108"/>
  </r>
  <r>
    <n v="397"/>
    <n v="2012"/>
    <x v="1"/>
    <x v="650"/>
    <x v="456"/>
    <s v="eng"/>
    <x v="0"/>
    <n v="4.05"/>
    <x v="648"/>
    <x v="1"/>
    <n v="206.91"/>
    <n v="124.146"/>
    <n v="0.99"/>
    <n v="432"/>
    <x v="0"/>
    <n v="5643"/>
  </r>
  <r>
    <n v="426"/>
    <n v="2010"/>
    <x v="1"/>
    <x v="651"/>
    <x v="456"/>
    <s v="en-US"/>
    <x v="2"/>
    <n v="3.91"/>
    <x v="649"/>
    <x v="0"/>
    <n v="376.11"/>
    <n v="0"/>
    <n v="1.99"/>
    <n v="471"/>
    <x v="0"/>
    <n v="5103"/>
  </r>
  <r>
    <n v="1054"/>
    <n v="2011"/>
    <x v="1"/>
    <x v="652"/>
    <x v="456"/>
    <s v="eng"/>
    <x v="2"/>
    <n v="3.91"/>
    <x v="650"/>
    <x v="0"/>
    <n v="827.86"/>
    <n v="496.71600000000001"/>
    <n v="7.81"/>
    <n v="1249"/>
    <x v="2"/>
    <n v="106"/>
  </r>
  <r>
    <n v="361"/>
    <n v="2011"/>
    <x v="1"/>
    <x v="653"/>
    <x v="457"/>
    <s v="eng"/>
    <x v="2"/>
    <n v="3.9"/>
    <x v="651"/>
    <x v="1"/>
    <n v="2509.3000000000002"/>
    <n v="1505.58"/>
    <n v="10.91"/>
    <n v="389"/>
    <x v="6"/>
    <n v="6210"/>
  </r>
  <r>
    <n v="813"/>
    <n v="2009"/>
    <x v="1"/>
    <x v="654"/>
    <x v="457"/>
    <s v="eng"/>
    <x v="2"/>
    <n v="3.82"/>
    <x v="652"/>
    <x v="0"/>
    <n v="876.66"/>
    <n v="525.99599999999998"/>
    <n v="7.69"/>
    <n v="950"/>
    <x v="6"/>
    <n v="2916"/>
  </r>
  <r>
    <n v="234"/>
    <n v="1965"/>
    <x v="0"/>
    <x v="655"/>
    <x v="458"/>
    <s v="eng"/>
    <x v="2"/>
    <n v="4.29"/>
    <x v="653"/>
    <x v="1"/>
    <n v="2025.94"/>
    <n v="1215.5640000000001"/>
    <n v="4.99"/>
    <n v="256"/>
    <x v="6"/>
    <n v="406"/>
  </r>
  <r>
    <n v="877"/>
    <n v="2006"/>
    <x v="1"/>
    <x v="656"/>
    <x v="459"/>
    <s v="eng"/>
    <x v="0"/>
    <n v="4.34"/>
    <x v="654"/>
    <x v="0"/>
    <n v="446.88"/>
    <n v="0"/>
    <n v="3.99"/>
    <n v="1030"/>
    <x v="0"/>
    <n v="4440"/>
  </r>
  <r>
    <n v="41"/>
    <n v="2003"/>
    <x v="1"/>
    <x v="657"/>
    <x v="460"/>
    <s v="eng"/>
    <x v="2"/>
    <n v="4"/>
    <x v="655"/>
    <x v="0"/>
    <n v="7485.24"/>
    <n v="0"/>
    <n v="3.99"/>
    <n v="43"/>
    <x v="0"/>
    <n v="1876"/>
  </r>
  <r>
    <n v="352"/>
    <n v="2000"/>
    <x v="1"/>
    <x v="658"/>
    <x v="460"/>
    <s v="eng"/>
    <x v="2"/>
    <n v="3.95"/>
    <x v="656"/>
    <x v="1"/>
    <n v="1885.64"/>
    <n v="1131.384"/>
    <n v="7.99"/>
    <n v="378"/>
    <x v="5"/>
    <n v="236"/>
  </r>
  <r>
    <n v="874"/>
    <n v="2009"/>
    <x v="1"/>
    <x v="659"/>
    <x v="460"/>
    <s v="eng"/>
    <x v="0"/>
    <n v="4.05"/>
    <x v="657"/>
    <x v="0"/>
    <n v="894.88"/>
    <n v="536.928"/>
    <n v="7.99"/>
    <n v="1024"/>
    <x v="1"/>
    <n v="4480"/>
  </r>
  <r>
    <n v="528"/>
    <n v="1998"/>
    <x v="0"/>
    <x v="660"/>
    <x v="461"/>
    <s v="eng"/>
    <x v="2"/>
    <n v="3.97"/>
    <x v="658"/>
    <x v="0"/>
    <n v="2106.4499999999998"/>
    <n v="1263.8699999999999"/>
    <n v="13.59"/>
    <n v="589"/>
    <x v="8"/>
    <n v="4185"/>
  </r>
  <r>
    <n v="865"/>
    <n v="1984"/>
    <x v="0"/>
    <x v="661"/>
    <x v="462"/>
    <s v="en-US"/>
    <x v="0"/>
    <n v="4.03"/>
    <x v="659"/>
    <x v="1"/>
    <n v="992.14"/>
    <n v="595.28399999999999"/>
    <n v="8.7799999999999994"/>
    <n v="1011"/>
    <x v="1"/>
    <n v="2862"/>
  </r>
  <r>
    <n v="14"/>
    <n v="1922"/>
    <x v="0"/>
    <x v="662"/>
    <x v="463"/>
    <s v="eng"/>
    <x v="2"/>
    <n v="4.29"/>
    <x v="660"/>
    <x v="0"/>
    <n v="21797.82"/>
    <n v="13078.691999999999"/>
    <n v="6.54"/>
    <n v="15"/>
    <x v="6"/>
    <n v="3333"/>
  </r>
  <r>
    <n v="804"/>
    <n v="2005"/>
    <x v="1"/>
    <x v="663"/>
    <x v="464"/>
    <s v="eng"/>
    <x v="0"/>
    <n v="4.16"/>
    <x v="661"/>
    <x v="0"/>
    <n v="343.85"/>
    <n v="0"/>
    <n v="2.99"/>
    <n v="937"/>
    <x v="0"/>
    <n v="2916"/>
  </r>
  <r>
    <n v="389"/>
    <n v="2011"/>
    <x v="1"/>
    <x v="664"/>
    <x v="465"/>
    <s v="eng"/>
    <x v="2"/>
    <n v="3.77"/>
    <x v="662"/>
    <x v="0"/>
    <n v="849.87"/>
    <n v="509.92200000000003"/>
    <n v="3.99"/>
    <n v="423"/>
    <x v="0"/>
    <n v="5751"/>
  </r>
  <r>
    <n v="182"/>
    <n v="2013"/>
    <x v="1"/>
    <x v="665"/>
    <x v="466"/>
    <s v="eng"/>
    <x v="2"/>
    <n v="4.29"/>
    <x v="663"/>
    <x v="0"/>
    <n v="1524.9"/>
    <n v="0"/>
    <n v="2.99"/>
    <n v="198"/>
    <x v="0"/>
    <n v="510"/>
  </r>
  <r>
    <n v="471"/>
    <n v="2013"/>
    <x v="1"/>
    <x v="666"/>
    <x v="466"/>
    <s v="eng"/>
    <x v="0"/>
    <n v="4.37"/>
    <x v="664"/>
    <x v="1"/>
    <n v="1688.31"/>
    <n v="1012.986"/>
    <n v="9.99"/>
    <n v="523"/>
    <x v="1"/>
    <n v="4563"/>
  </r>
  <r>
    <n v="89"/>
    <n v="1982"/>
    <x v="0"/>
    <x v="667"/>
    <x v="467"/>
    <s v="eng"/>
    <x v="2"/>
    <n v="4.12"/>
    <x v="665"/>
    <x v="0"/>
    <n v="1157.31"/>
    <n v="694.38599999999997"/>
    <n v="0.99"/>
    <n v="89"/>
    <x v="0"/>
    <n v="1169"/>
  </r>
  <r>
    <n v="50"/>
    <n v="2013"/>
    <x v="1"/>
    <x v="668"/>
    <x v="468"/>
    <s v="eng"/>
    <x v="2"/>
    <n v="4.3"/>
    <x v="666"/>
    <x v="0"/>
    <n v="1720.62"/>
    <n v="1032.3720000000001"/>
    <n v="0.99"/>
    <n v="52"/>
    <x v="0"/>
    <n v="1738"/>
  </r>
  <r>
    <n v="243"/>
    <n v="2014"/>
    <x v="1"/>
    <x v="669"/>
    <x v="468"/>
    <s v="eng"/>
    <x v="3"/>
    <n v="4.46"/>
    <x v="667"/>
    <x v="1"/>
    <n v="1154.1400000000001"/>
    <n v="692.48400000000004"/>
    <n v="2.99"/>
    <n v="268"/>
    <x v="3"/>
    <n v="386"/>
  </r>
  <r>
    <n v="822"/>
    <n v="2015"/>
    <x v="1"/>
    <x v="670"/>
    <x v="468"/>
    <s v="eng"/>
    <x v="3"/>
    <n v="4.49"/>
    <x v="668"/>
    <x v="1"/>
    <n v="397.86"/>
    <n v="0"/>
    <n v="3.49"/>
    <n v="961"/>
    <x v="0"/>
    <n v="2889"/>
  </r>
  <r>
    <n v="297"/>
    <n v="2000"/>
    <x v="1"/>
    <x v="671"/>
    <x v="469"/>
    <s v="eng"/>
    <x v="0"/>
    <n v="4.2300000000000004"/>
    <x v="669"/>
    <x v="0"/>
    <n v="1487.02"/>
    <n v="892.21199999999999"/>
    <n v="4.99"/>
    <n v="321"/>
    <x v="6"/>
    <n v="298"/>
  </r>
  <r>
    <n v="933"/>
    <n v="2003"/>
    <x v="1"/>
    <x v="671"/>
    <x v="470"/>
    <s v="en-US"/>
    <x v="0"/>
    <n v="4.3600000000000003"/>
    <x v="670"/>
    <x v="1"/>
    <n v="108.9"/>
    <n v="0"/>
    <n v="0.99"/>
    <n v="1099"/>
    <x v="0"/>
    <n v="4320"/>
  </r>
  <r>
    <n v="578"/>
    <n v="2009"/>
    <x v="1"/>
    <x v="672"/>
    <x v="471"/>
    <s v="en-US"/>
    <x v="0"/>
    <n v="4.34"/>
    <x v="671"/>
    <x v="0"/>
    <n v="1560.58"/>
    <n v="936.34799999999996"/>
    <n v="10.99"/>
    <n v="647"/>
    <x v="2"/>
    <n v="61560"/>
  </r>
  <r>
    <n v="647"/>
    <n v="1881"/>
    <x v="2"/>
    <x v="673"/>
    <x v="472"/>
    <s v="eng"/>
    <x v="2"/>
    <n v="3.84"/>
    <x v="672"/>
    <x v="0"/>
    <n v="966.79"/>
    <n v="580.07399999999996"/>
    <n v="7.99"/>
    <n v="741"/>
    <x v="6"/>
    <n v="43416"/>
  </r>
  <r>
    <n v="559"/>
    <n v="2000"/>
    <x v="1"/>
    <x v="674"/>
    <x v="473"/>
    <s v="eng"/>
    <x v="0"/>
    <n v="4.13"/>
    <x v="673"/>
    <x v="0"/>
    <n v="439.53"/>
    <n v="0"/>
    <n v="2.99"/>
    <n v="625"/>
    <x v="0"/>
    <n v="3969"/>
  </r>
  <r>
    <n v="556"/>
    <n v="2002"/>
    <x v="1"/>
    <x v="675"/>
    <x v="474"/>
    <s v="en-US"/>
    <x v="0"/>
    <n v="4.09"/>
    <x v="674"/>
    <x v="0"/>
    <n v="145.53"/>
    <n v="87.317999999999998"/>
    <n v="0.99"/>
    <n v="624"/>
    <x v="0"/>
    <n v="3969"/>
  </r>
  <r>
    <n v="280"/>
    <n v="2014"/>
    <x v="1"/>
    <x v="676"/>
    <x v="475"/>
    <s v="eng"/>
    <x v="2"/>
    <n v="3.81"/>
    <x v="675"/>
    <x v="0"/>
    <n v="2620.7199999999998"/>
    <n v="1572.432"/>
    <n v="7.99"/>
    <n v="303"/>
    <x v="6"/>
    <n v="328"/>
  </r>
  <r>
    <n v="966"/>
    <n v="1952"/>
    <x v="0"/>
    <x v="677"/>
    <x v="476"/>
    <m/>
    <x v="0"/>
    <n v="4.0199999999999996"/>
    <x v="676"/>
    <x v="0"/>
    <n v="706.32"/>
    <n v="423.79199999999997"/>
    <n v="6.48"/>
    <n v="1141"/>
    <x v="7"/>
    <n v="4240"/>
  </r>
  <r>
    <n v="227"/>
    <n v="2003"/>
    <x v="1"/>
    <x v="678"/>
    <x v="477"/>
    <s v="eng"/>
    <x v="2"/>
    <n v="4.05"/>
    <x v="677"/>
    <x v="1"/>
    <n v="4473"/>
    <n v="2683.8"/>
    <n v="10.65"/>
    <n v="248"/>
    <x v="6"/>
    <n v="420"/>
  </r>
  <r>
    <n v="304"/>
    <n v="1999"/>
    <x v="0"/>
    <x v="679"/>
    <x v="478"/>
    <s v="eng"/>
    <x v="0"/>
    <n v="4.3499999999999996"/>
    <x v="678"/>
    <x v="1"/>
    <n v="288.08999999999997"/>
    <n v="172.85400000000001"/>
    <n v="0.99"/>
    <n v="325"/>
    <x v="5"/>
    <n v="291"/>
  </r>
  <r>
    <n v="595"/>
    <n v="2005"/>
    <x v="1"/>
    <x v="680"/>
    <x v="479"/>
    <s v="eng"/>
    <x v="0"/>
    <n v="4.0999999999999996"/>
    <x v="624"/>
    <x v="1"/>
    <n v="1225.3599999999999"/>
    <n v="0"/>
    <n v="9.01"/>
    <n v="675"/>
    <x v="0"/>
    <n v="53136"/>
  </r>
  <r>
    <n v="167"/>
    <n v="2008"/>
    <x v="1"/>
    <x v="681"/>
    <x v="480"/>
    <s v="en-US"/>
    <x v="2"/>
    <n v="4"/>
    <x v="679"/>
    <x v="0"/>
    <n v="594"/>
    <n v="0"/>
    <n v="0.99"/>
    <n v="180"/>
    <x v="0"/>
    <n v="600"/>
  </r>
  <r>
    <n v="525"/>
    <n v="2004"/>
    <x v="1"/>
    <x v="682"/>
    <x v="481"/>
    <s v="eng"/>
    <x v="2"/>
    <n v="3.86"/>
    <x v="680"/>
    <x v="0"/>
    <n v="154.44"/>
    <n v="0"/>
    <n v="0.99"/>
    <n v="585"/>
    <x v="0"/>
    <n v="4212"/>
  </r>
  <r>
    <n v="478"/>
    <n v="2013"/>
    <x v="1"/>
    <x v="683"/>
    <x v="482"/>
    <s v="eng"/>
    <x v="2"/>
    <n v="3.54"/>
    <x v="681"/>
    <x v="0"/>
    <n v="1342.32"/>
    <n v="805.39200000000005"/>
    <n v="7.99"/>
    <n v="528"/>
    <x v="8"/>
    <n v="4536"/>
  </r>
  <r>
    <n v="210"/>
    <n v="1998"/>
    <x v="0"/>
    <x v="684"/>
    <x v="483"/>
    <m/>
    <x v="1"/>
    <n v="3.29"/>
    <x v="682"/>
    <x v="1"/>
    <n v="448.47"/>
    <n v="0"/>
    <n v="0.99"/>
    <n v="228"/>
    <x v="0"/>
    <n v="453"/>
  </r>
  <r>
    <n v="450"/>
    <n v="2006"/>
    <x v="1"/>
    <x v="685"/>
    <x v="484"/>
    <s v="en-US"/>
    <x v="2"/>
    <n v="3.68"/>
    <x v="683"/>
    <x v="0"/>
    <n v="702.24"/>
    <n v="421.34399999999999"/>
    <n v="3.99"/>
    <n v="497"/>
    <x v="0"/>
    <n v="4752"/>
  </r>
  <r>
    <n v="1009"/>
    <n v="2007"/>
    <x v="1"/>
    <x v="686"/>
    <x v="484"/>
    <s v="en-US"/>
    <x v="2"/>
    <n v="3.91"/>
    <x v="684"/>
    <x v="0"/>
    <n v="106.92"/>
    <n v="64.152000000000001"/>
    <n v="0.99"/>
    <n v="1196"/>
    <x v="0"/>
    <n v="108"/>
  </r>
  <r>
    <n v="344"/>
    <n v="2007"/>
    <x v="1"/>
    <x v="687"/>
    <x v="485"/>
    <s v="en-US"/>
    <x v="2"/>
    <n v="3.69"/>
    <x v="685"/>
    <x v="0"/>
    <n v="1197.5999999999999"/>
    <n v="718.56"/>
    <n v="4.99"/>
    <n v="370"/>
    <x v="1"/>
    <n v="240"/>
  </r>
  <r>
    <n v="454"/>
    <n v="2009"/>
    <x v="1"/>
    <x v="688"/>
    <x v="486"/>
    <s v="en-US"/>
    <x v="0"/>
    <n v="4.26"/>
    <x v="686"/>
    <x v="2"/>
    <n v="1216.26"/>
    <n v="729.75599999999997"/>
    <n v="6.99"/>
    <n v="502"/>
    <x v="1"/>
    <n v="4698"/>
  </r>
  <r>
    <n v="623"/>
    <n v="2003"/>
    <x v="1"/>
    <x v="689"/>
    <x v="486"/>
    <s v="en-US"/>
    <x v="0"/>
    <n v="4.24"/>
    <x v="687"/>
    <x v="0"/>
    <n v="127.71"/>
    <n v="0"/>
    <n v="0.99"/>
    <n v="708"/>
    <x v="0"/>
    <n v="47952"/>
  </r>
  <r>
    <n v="818"/>
    <n v="2006"/>
    <x v="1"/>
    <x v="690"/>
    <x v="486"/>
    <s v="eng"/>
    <x v="0"/>
    <n v="4.16"/>
    <x v="688"/>
    <x v="3"/>
    <n v="226.86"/>
    <n v="136.11600000000001"/>
    <n v="1.99"/>
    <n v="956"/>
    <x v="8"/>
    <n v="2889"/>
  </r>
  <r>
    <n v="154"/>
    <n v="2008"/>
    <x v="1"/>
    <x v="691"/>
    <x v="487"/>
    <s v="eng"/>
    <x v="2"/>
    <n v="3.85"/>
    <x v="689"/>
    <x v="0"/>
    <n v="3678.3"/>
    <n v="2206.98"/>
    <n v="5.49"/>
    <n v="166"/>
    <x v="0"/>
    <n v="670"/>
  </r>
  <r>
    <n v="371"/>
    <n v="1992"/>
    <x v="0"/>
    <x v="692"/>
    <x v="488"/>
    <s v="eng"/>
    <x v="0"/>
    <n v="4.08"/>
    <x v="690"/>
    <x v="1"/>
    <n v="1274.56"/>
    <n v="764.73599999999999"/>
    <n v="5.69"/>
    <n v="401"/>
    <x v="0"/>
    <n v="6048"/>
  </r>
  <r>
    <n v="44"/>
    <n v="1999"/>
    <x v="0"/>
    <x v="693"/>
    <x v="489"/>
    <s v="en-US"/>
    <x v="2"/>
    <n v="3.83"/>
    <x v="691"/>
    <x v="0"/>
    <n v="12791.7"/>
    <n v="7675.02"/>
    <n v="6.99"/>
    <n v="46"/>
    <x v="0"/>
    <n v="1830"/>
  </r>
  <r>
    <n v="109"/>
    <n v="2002"/>
    <x v="1"/>
    <x v="694"/>
    <x v="489"/>
    <m/>
    <x v="2"/>
    <n v="3.72"/>
    <x v="692"/>
    <x v="0"/>
    <n v="1850.7"/>
    <n v="0"/>
    <n v="1.99"/>
    <n v="114"/>
    <x v="0"/>
    <n v="930"/>
  </r>
  <r>
    <n v="129"/>
    <n v="1980"/>
    <x v="0"/>
    <x v="695"/>
    <x v="489"/>
    <s v="eng"/>
    <x v="2"/>
    <n v="3.55"/>
    <x v="693"/>
    <x v="1"/>
    <n v="5696.85"/>
    <n v="3418.11"/>
    <n v="6.99"/>
    <n v="137"/>
    <x v="6"/>
    <n v="815"/>
  </r>
  <r>
    <n v="162"/>
    <n v="1987"/>
    <x v="0"/>
    <x v="696"/>
    <x v="489"/>
    <s v="eng"/>
    <x v="2"/>
    <n v="3.77"/>
    <x v="694"/>
    <x v="0"/>
    <n v="4473.6000000000004"/>
    <n v="2684.16"/>
    <n v="6.99"/>
    <n v="172"/>
    <x v="6"/>
    <n v="640"/>
  </r>
  <r>
    <n v="586"/>
    <n v="1995"/>
    <x v="0"/>
    <x v="697"/>
    <x v="489"/>
    <s v="eng"/>
    <x v="2"/>
    <n v="3.72"/>
    <x v="695"/>
    <x v="0"/>
    <n v="1398.6"/>
    <n v="839.16"/>
    <n v="9.99"/>
    <n v="658"/>
    <x v="0"/>
    <n v="55728"/>
  </r>
  <r>
    <n v="765"/>
    <n v="2004"/>
    <x v="1"/>
    <x v="698"/>
    <x v="489"/>
    <s v="eng"/>
    <x v="2"/>
    <n v="3.69"/>
    <x v="696"/>
    <x v="0"/>
    <n v="114.84"/>
    <n v="68.903999999999996"/>
    <n v="0.99"/>
    <n v="885"/>
    <x v="0"/>
    <n v="30240"/>
  </r>
  <r>
    <n v="1033"/>
    <n v="1994"/>
    <x v="0"/>
    <x v="699"/>
    <x v="489"/>
    <m/>
    <x v="2"/>
    <n v="3.76"/>
    <x v="697"/>
    <x v="0"/>
    <n v="854.93"/>
    <n v="512.95799999999997"/>
    <n v="7.99"/>
    <n v="1219"/>
    <x v="6"/>
    <n v="107"/>
  </r>
  <r>
    <n v="1061"/>
    <n v="1996"/>
    <x v="0"/>
    <x v="700"/>
    <x v="489"/>
    <s v="eng"/>
    <x v="2"/>
    <n v="3.66"/>
    <x v="698"/>
    <x v="0"/>
    <n v="104.94"/>
    <n v="0"/>
    <n v="0.99"/>
    <n v="1263"/>
    <x v="0"/>
    <n v="106"/>
  </r>
  <r>
    <n v="410"/>
    <n v="1998"/>
    <x v="0"/>
    <x v="701"/>
    <x v="490"/>
    <s v="en-US"/>
    <x v="2"/>
    <n v="3.91"/>
    <x v="699"/>
    <x v="0"/>
    <n v="500"/>
    <n v="300"/>
    <n v="2.5"/>
    <n v="449"/>
    <x v="8"/>
    <n v="5400"/>
  </r>
  <r>
    <n v="346"/>
    <n v="1979"/>
    <x v="0"/>
    <x v="702"/>
    <x v="491"/>
    <s v="eng"/>
    <x v="0"/>
    <n v="4.17"/>
    <x v="700"/>
    <x v="0"/>
    <n v="953.61"/>
    <n v="0"/>
    <n v="3.99"/>
    <n v="372"/>
    <x v="0"/>
    <n v="239"/>
  </r>
  <r>
    <n v="602"/>
    <n v="1992"/>
    <x v="0"/>
    <x v="703"/>
    <x v="492"/>
    <m/>
    <x v="2"/>
    <n v="3.88"/>
    <x v="701"/>
    <x v="0"/>
    <n v="663.67"/>
    <n v="0"/>
    <n v="4.99"/>
    <n v="688"/>
    <x v="0"/>
    <n v="51840"/>
  </r>
  <r>
    <n v="19"/>
    <n v="2006"/>
    <x v="1"/>
    <x v="704"/>
    <x v="493"/>
    <s v="eng"/>
    <x v="2"/>
    <n v="4.17"/>
    <x v="702"/>
    <x v="0"/>
    <n v="3035.34"/>
    <n v="0"/>
    <n v="0.99"/>
    <n v="19"/>
    <x v="0"/>
    <n v="3066"/>
  </r>
  <r>
    <n v="529"/>
    <n v="2007"/>
    <x v="1"/>
    <x v="705"/>
    <x v="493"/>
    <s v="en-US"/>
    <x v="0"/>
    <n v="4.07"/>
    <x v="703"/>
    <x v="0"/>
    <n v="618.45000000000005"/>
    <n v="0"/>
    <n v="3.99"/>
    <n v="589"/>
    <x v="0"/>
    <n v="4185"/>
  </r>
  <r>
    <n v="392"/>
    <n v="2007"/>
    <x v="1"/>
    <x v="706"/>
    <x v="494"/>
    <s v="eng"/>
    <x v="2"/>
    <n v="3.84"/>
    <x v="704"/>
    <x v="0"/>
    <n v="1693.88"/>
    <n v="1016.328"/>
    <n v="7.99"/>
    <n v="425"/>
    <x v="2"/>
    <n v="5724"/>
  </r>
  <r>
    <n v="1021"/>
    <n v="1974"/>
    <x v="0"/>
    <x v="707"/>
    <x v="495"/>
    <s v="en-US"/>
    <x v="0"/>
    <n v="4.3"/>
    <x v="705"/>
    <x v="1"/>
    <n v="105.93"/>
    <n v="63.558"/>
    <n v="0.99"/>
    <n v="1203"/>
    <x v="0"/>
    <n v="107"/>
  </r>
  <r>
    <n v="464"/>
    <n v="2011"/>
    <x v="1"/>
    <x v="708"/>
    <x v="496"/>
    <s v="eng"/>
    <x v="0"/>
    <n v="4.09"/>
    <x v="706"/>
    <x v="2"/>
    <n v="1879.29"/>
    <n v="1127.5740000000001"/>
    <n v="10.99"/>
    <n v="516"/>
    <x v="3"/>
    <n v="4617"/>
  </r>
  <r>
    <n v="66"/>
    <n v="1605"/>
    <x v="2"/>
    <x v="709"/>
    <x v="497"/>
    <s v="eng"/>
    <x v="2"/>
    <n v="3.85"/>
    <x v="707"/>
    <x v="0"/>
    <n v="13413.08"/>
    <n v="8047.848"/>
    <n v="8.99"/>
    <n v="68"/>
    <x v="7"/>
    <n v="1492"/>
  </r>
  <r>
    <n v="259"/>
    <n v="1997"/>
    <x v="0"/>
    <x v="710"/>
    <x v="498"/>
    <m/>
    <x v="2"/>
    <n v="4.12"/>
    <x v="708"/>
    <x v="0"/>
    <n v="4388.34"/>
    <n v="2633.0039999999999"/>
    <n v="11.99"/>
    <n v="280"/>
    <x v="2"/>
    <n v="366"/>
  </r>
  <r>
    <n v="61"/>
    <n v="1967"/>
    <x v="0"/>
    <x v="711"/>
    <x v="499"/>
    <s v="eng"/>
    <x v="2"/>
    <n v="4.32"/>
    <x v="709"/>
    <x v="0"/>
    <n v="6320.16"/>
    <n v="0"/>
    <n v="3.99"/>
    <n v="62"/>
    <x v="0"/>
    <n v="1584"/>
  </r>
  <r>
    <n v="507"/>
    <n v="1976"/>
    <x v="0"/>
    <x v="712"/>
    <x v="500"/>
    <s v="eng"/>
    <x v="2"/>
    <n v="3.79"/>
    <x v="710"/>
    <x v="1"/>
    <n v="642.39"/>
    <n v="385.43400000000003"/>
    <n v="3.99"/>
    <n v="561"/>
    <x v="7"/>
    <n v="4347"/>
  </r>
  <r>
    <n v="513"/>
    <n v="2015"/>
    <x v="1"/>
    <x v="713"/>
    <x v="501"/>
    <s v="eng"/>
    <x v="2"/>
    <n v="3.89"/>
    <x v="711"/>
    <x v="0"/>
    <n v="1598.4"/>
    <n v="959.04"/>
    <n v="9.99"/>
    <n v="568"/>
    <x v="6"/>
    <n v="4320"/>
  </r>
  <r>
    <n v="253"/>
    <n v="2006"/>
    <x v="1"/>
    <x v="714"/>
    <x v="502"/>
    <s v="en-US"/>
    <x v="2"/>
    <n v="4.09"/>
    <x v="712"/>
    <x v="0"/>
    <n v="1488.27"/>
    <n v="0"/>
    <n v="3.99"/>
    <n v="276"/>
    <x v="0"/>
    <n v="373"/>
  </r>
  <r>
    <n v="621"/>
    <n v="2012"/>
    <x v="1"/>
    <x v="715"/>
    <x v="502"/>
    <s v="eng"/>
    <x v="2"/>
    <n v="3.85"/>
    <x v="713"/>
    <x v="0"/>
    <n v="127.71"/>
    <n v="0"/>
    <n v="0.99"/>
    <n v="707"/>
    <x v="0"/>
    <n v="48384"/>
  </r>
  <r>
    <n v="909"/>
    <n v="2009"/>
    <x v="1"/>
    <x v="716"/>
    <x v="502"/>
    <s v="en-US"/>
    <x v="0"/>
    <n v="4.16"/>
    <x v="714"/>
    <x v="1"/>
    <n v="220.89"/>
    <n v="132.53399999999999"/>
    <n v="1.99"/>
    <n v="1066"/>
    <x v="7"/>
    <n v="4400"/>
  </r>
  <r>
    <n v="338"/>
    <n v="2006"/>
    <x v="1"/>
    <x v="717"/>
    <x v="503"/>
    <s v="eng"/>
    <x v="2"/>
    <n v="3.73"/>
    <x v="715"/>
    <x v="0"/>
    <n v="1698.57"/>
    <n v="1019.1420000000001"/>
    <n v="6.99"/>
    <n v="363"/>
    <x v="7"/>
    <n v="243"/>
  </r>
  <r>
    <n v="700"/>
    <n v="2007"/>
    <x v="1"/>
    <x v="718"/>
    <x v="504"/>
    <s v="en-US"/>
    <x v="2"/>
    <n v="3.73"/>
    <x v="716"/>
    <x v="0"/>
    <n v="824.82"/>
    <n v="494.892"/>
    <n v="6.99"/>
    <n v="804"/>
    <x v="7"/>
    <n v="35640"/>
  </r>
  <r>
    <n v="149"/>
    <n v="1937"/>
    <x v="0"/>
    <x v="719"/>
    <x v="505"/>
    <s v="eng"/>
    <x v="2"/>
    <n v="4.17"/>
    <x v="717"/>
    <x v="0"/>
    <n v="702.9"/>
    <n v="0"/>
    <n v="0.99"/>
    <n v="158"/>
    <x v="0"/>
    <n v="710"/>
  </r>
  <r>
    <n v="985"/>
    <n v="2007"/>
    <x v="1"/>
    <x v="720"/>
    <x v="506"/>
    <s v="eng"/>
    <x v="2"/>
    <n v="3.88"/>
    <x v="718"/>
    <x v="0"/>
    <n v="761.91"/>
    <n v="0"/>
    <n v="6.99"/>
    <n v="1161"/>
    <x v="0"/>
    <n v="109"/>
  </r>
  <r>
    <n v="46"/>
    <n v="1975"/>
    <x v="0"/>
    <x v="721"/>
    <x v="507"/>
    <s v="eng"/>
    <x v="2"/>
    <n v="3.85"/>
    <x v="719"/>
    <x v="1"/>
    <n v="3582"/>
    <n v="2149.1999999999998"/>
    <n v="1.99"/>
    <n v="48"/>
    <x v="0"/>
    <n v="1800"/>
  </r>
  <r>
    <n v="983"/>
    <n v="1999"/>
    <x v="0"/>
    <x v="722"/>
    <x v="508"/>
    <s v="en-US"/>
    <x v="0"/>
    <n v="4.16"/>
    <x v="720"/>
    <x v="0"/>
    <n v="107.91"/>
    <n v="0"/>
    <n v="0.99"/>
    <n v="1160"/>
    <x v="0"/>
    <n v="109"/>
  </r>
  <r>
    <n v="272"/>
    <n v="1999"/>
    <x v="0"/>
    <x v="723"/>
    <x v="509"/>
    <s v="eng"/>
    <x v="2"/>
    <n v="4.2300000000000004"/>
    <x v="721"/>
    <x v="1"/>
    <n v="1031.55"/>
    <n v="618.92999999999995"/>
    <n v="2.99"/>
    <n v="293"/>
    <x v="1"/>
    <n v="345"/>
  </r>
  <r>
    <n v="180"/>
    <n v="2007"/>
    <x v="1"/>
    <x v="724"/>
    <x v="510"/>
    <s v="eng"/>
    <x v="2"/>
    <n v="4.18"/>
    <x v="722"/>
    <x v="0"/>
    <n v="524.70000000000005"/>
    <n v="314.82"/>
    <n v="0.99"/>
    <n v="194"/>
    <x v="3"/>
    <n v="530"/>
  </r>
  <r>
    <n v="611"/>
    <n v="1999"/>
    <x v="0"/>
    <x v="725"/>
    <x v="511"/>
    <s v="eng"/>
    <x v="0"/>
    <n v="4.25"/>
    <x v="723"/>
    <x v="3"/>
    <n v="327.36"/>
    <n v="196.416"/>
    <n v="2.48"/>
    <n v="694"/>
    <x v="6"/>
    <n v="50112"/>
  </r>
  <r>
    <n v="988"/>
    <n v="1995"/>
    <x v="0"/>
    <x v="726"/>
    <x v="511"/>
    <s v="eng"/>
    <x v="0"/>
    <n v="4.1900000000000004"/>
    <x v="724"/>
    <x v="0"/>
    <n v="970.92"/>
    <n v="582.55200000000002"/>
    <n v="8.99"/>
    <n v="1167"/>
    <x v="3"/>
    <n v="108"/>
  </r>
  <r>
    <n v="33"/>
    <n v="2006"/>
    <x v="1"/>
    <x v="727"/>
    <x v="512"/>
    <s v="en-US"/>
    <x v="2"/>
    <n v="4.1399999999999997"/>
    <x v="725"/>
    <x v="1"/>
    <n v="2045.34"/>
    <n v="1227.204"/>
    <n v="0.99"/>
    <n v="34"/>
    <x v="8"/>
    <n v="2066"/>
  </r>
  <r>
    <n v="135"/>
    <n v="2005"/>
    <x v="1"/>
    <x v="728"/>
    <x v="513"/>
    <s v="eng"/>
    <x v="2"/>
    <n v="4"/>
    <x v="726"/>
    <x v="1"/>
    <n v="1572.1"/>
    <n v="943.26"/>
    <n v="1.99"/>
    <n v="142"/>
    <x v="0"/>
    <n v="790"/>
  </r>
  <r>
    <n v="1041"/>
    <n v="1991"/>
    <x v="0"/>
    <x v="729"/>
    <x v="514"/>
    <s v="eng"/>
    <x v="0"/>
    <n v="4.28"/>
    <x v="41"/>
    <x v="0"/>
    <n v="426.93"/>
    <n v="0"/>
    <n v="3.99"/>
    <n v="1230"/>
    <x v="0"/>
    <n v="107"/>
  </r>
  <r>
    <n v="235"/>
    <n v="1989"/>
    <x v="0"/>
    <x v="730"/>
    <x v="515"/>
    <s v="eng"/>
    <x v="2"/>
    <n v="4.3"/>
    <x v="727"/>
    <x v="1"/>
    <n v="2251.8000000000002"/>
    <n v="1351.08"/>
    <n v="5.56"/>
    <n v="257"/>
    <x v="0"/>
    <n v="405"/>
  </r>
  <r>
    <n v="1064"/>
    <n v="1994"/>
    <x v="0"/>
    <x v="731"/>
    <x v="516"/>
    <s v="eng"/>
    <x v="0"/>
    <n v="4.3099999999999996"/>
    <x v="728"/>
    <x v="0"/>
    <n v="316.94"/>
    <n v="0"/>
    <n v="2.99"/>
    <n v="1266"/>
    <x v="0"/>
    <n v="106"/>
  </r>
  <r>
    <n v="21"/>
    <n v="2000"/>
    <x v="1"/>
    <x v="732"/>
    <x v="517"/>
    <s v="en-US"/>
    <x v="2"/>
    <n v="4.0999999999999996"/>
    <x v="729"/>
    <x v="0"/>
    <n v="8569.34"/>
    <n v="0"/>
    <n v="2.99"/>
    <n v="22"/>
    <x v="0"/>
    <n v="2866"/>
  </r>
  <r>
    <n v="40"/>
    <n v="2003"/>
    <x v="1"/>
    <x v="733"/>
    <x v="517"/>
    <s v="en-US"/>
    <x v="2"/>
    <n v="4.1399999999999997"/>
    <x v="730"/>
    <x v="0"/>
    <n v="1873.08"/>
    <n v="0"/>
    <n v="0.99"/>
    <n v="42"/>
    <x v="0"/>
    <n v="1892"/>
  </r>
  <r>
    <n v="91"/>
    <n v="2002"/>
    <x v="1"/>
    <x v="734"/>
    <x v="517"/>
    <s v="eng"/>
    <x v="2"/>
    <n v="3.82"/>
    <x v="731"/>
    <x v="0"/>
    <n v="5603.77"/>
    <n v="3362.2620000000002"/>
    <n v="4.99"/>
    <n v="92"/>
    <x v="0"/>
    <n v="1123"/>
  </r>
  <r>
    <n v="152"/>
    <n v="2001"/>
    <x v="1"/>
    <x v="735"/>
    <x v="517"/>
    <s v="eng"/>
    <x v="2"/>
    <n v="4.0199999999999996"/>
    <x v="732"/>
    <x v="0"/>
    <n v="1353.2"/>
    <n v="811.92"/>
    <n v="1.99"/>
    <n v="164"/>
    <x v="8"/>
    <n v="680"/>
  </r>
  <r>
    <n v="155"/>
    <n v="2003"/>
    <x v="1"/>
    <x v="736"/>
    <x v="517"/>
    <s v="en-US"/>
    <x v="2"/>
    <n v="3.98"/>
    <x v="733"/>
    <x v="0"/>
    <n v="658.35"/>
    <n v="395.01"/>
    <n v="0.99"/>
    <n v="167"/>
    <x v="0"/>
    <n v="665"/>
  </r>
  <r>
    <n v="185"/>
    <n v="2007"/>
    <x v="1"/>
    <x v="737"/>
    <x v="517"/>
    <s v="en-US"/>
    <x v="2"/>
    <n v="3.99"/>
    <x v="734"/>
    <x v="0"/>
    <n v="1483.04"/>
    <n v="0"/>
    <n v="2.99"/>
    <n v="202"/>
    <x v="0"/>
    <n v="496"/>
  </r>
  <r>
    <n v="290"/>
    <n v="2010"/>
    <x v="1"/>
    <x v="738"/>
    <x v="517"/>
    <s v="en-US"/>
    <x v="2"/>
    <n v="3.91"/>
    <x v="735"/>
    <x v="0"/>
    <n v="307.89"/>
    <n v="184.73400000000001"/>
    <n v="0.99"/>
    <n v="313"/>
    <x v="0"/>
    <n v="311"/>
  </r>
  <r>
    <n v="567"/>
    <n v="2012"/>
    <x v="1"/>
    <x v="739"/>
    <x v="517"/>
    <s v="eng"/>
    <x v="0"/>
    <n v="4.1399999999999997"/>
    <x v="736"/>
    <x v="0"/>
    <n v="144.54"/>
    <n v="0"/>
    <n v="0.99"/>
    <n v="631"/>
    <x v="0"/>
    <n v="3942"/>
  </r>
  <r>
    <n v="883"/>
    <n v="2003"/>
    <x v="1"/>
    <x v="740"/>
    <x v="517"/>
    <s v="en-US"/>
    <x v="2"/>
    <n v="3.8"/>
    <x v="737"/>
    <x v="0"/>
    <n v="558.88"/>
    <n v="0"/>
    <n v="4.99"/>
    <n v="1035"/>
    <x v="0"/>
    <n v="4440"/>
  </r>
  <r>
    <n v="928"/>
    <n v="2004"/>
    <x v="1"/>
    <x v="741"/>
    <x v="517"/>
    <s v="en-US"/>
    <x v="2"/>
    <n v="3.81"/>
    <x v="738"/>
    <x v="0"/>
    <n v="108.9"/>
    <n v="65.34"/>
    <n v="0.99"/>
    <n v="1091"/>
    <x v="0"/>
    <n v="4320"/>
  </r>
  <r>
    <n v="39"/>
    <n v="1995"/>
    <x v="0"/>
    <x v="742"/>
    <x v="518"/>
    <s v="eng"/>
    <x v="2"/>
    <n v="3.94"/>
    <x v="739"/>
    <x v="0"/>
    <n v="20309.55"/>
    <n v="12185.73"/>
    <n v="10.65"/>
    <n v="41"/>
    <x v="6"/>
    <n v="1907"/>
  </r>
  <r>
    <n v="264"/>
    <n v="1998"/>
    <x v="0"/>
    <x v="743"/>
    <x v="518"/>
    <s v="en-US"/>
    <x v="2"/>
    <n v="3.79"/>
    <x v="740"/>
    <x v="0"/>
    <n v="1079.3900000000001"/>
    <n v="647.63400000000001"/>
    <n v="2.99"/>
    <n v="283"/>
    <x v="2"/>
    <n v="361"/>
  </r>
  <r>
    <n v="890"/>
    <n v="2005"/>
    <x v="1"/>
    <x v="744"/>
    <x v="518"/>
    <s v="eng"/>
    <x v="1"/>
    <n v="3.41"/>
    <x v="741"/>
    <x v="1"/>
    <n v="446.88"/>
    <n v="268.12799999999999"/>
    <n v="3.99"/>
    <n v="1046"/>
    <x v="7"/>
    <n v="4440"/>
  </r>
  <r>
    <n v="922"/>
    <n v="2015"/>
    <x v="1"/>
    <x v="745"/>
    <x v="519"/>
    <s v="eng"/>
    <x v="0"/>
    <n v="4.1100000000000003"/>
    <x v="742"/>
    <x v="0"/>
    <n v="331.89"/>
    <n v="0"/>
    <n v="2.99"/>
    <n v="1081"/>
    <x v="0"/>
    <n v="4360"/>
  </r>
  <r>
    <n v="336"/>
    <n v="2005"/>
    <x v="1"/>
    <x v="746"/>
    <x v="520"/>
    <s v="eng"/>
    <x v="2"/>
    <n v="3.91"/>
    <x v="743"/>
    <x v="0"/>
    <n v="977.55"/>
    <n v="0"/>
    <n v="3.99"/>
    <n v="359"/>
    <x v="0"/>
    <n v="245"/>
  </r>
  <r>
    <n v="376"/>
    <n v="2009"/>
    <x v="1"/>
    <x v="747"/>
    <x v="521"/>
    <s v="eng"/>
    <x v="0"/>
    <n v="4.0999999999999996"/>
    <x v="744"/>
    <x v="0"/>
    <n v="437.8"/>
    <n v="262.68"/>
    <n v="1.99"/>
    <n v="409"/>
    <x v="6"/>
    <n v="5940"/>
  </r>
  <r>
    <n v="976"/>
    <n v="1952"/>
    <x v="0"/>
    <x v="748"/>
    <x v="522"/>
    <s v="eng"/>
    <x v="0"/>
    <n v="4.08"/>
    <x v="745"/>
    <x v="0"/>
    <n v="325.91000000000003"/>
    <n v="0"/>
    <n v="2.99"/>
    <n v="1152"/>
    <x v="0"/>
    <n v="4240"/>
  </r>
  <r>
    <n v="30"/>
    <n v="1961"/>
    <x v="0"/>
    <x v="749"/>
    <x v="523"/>
    <s v="en-US"/>
    <x v="2"/>
    <n v="4.22"/>
    <x v="746"/>
    <x v="0"/>
    <n v="4509.34"/>
    <n v="0"/>
    <n v="1.99"/>
    <n v="31"/>
    <x v="0"/>
    <n v="2266"/>
  </r>
  <r>
    <n v="1038"/>
    <n v="1905"/>
    <x v="0"/>
    <x v="750"/>
    <x v="524"/>
    <s v="eng"/>
    <x v="0"/>
    <n v="4.07"/>
    <x v="747"/>
    <x v="1"/>
    <n v="951.23"/>
    <n v="570.73800000000006"/>
    <n v="8.89"/>
    <n v="1224"/>
    <x v="1"/>
    <n v="107"/>
  </r>
  <r>
    <n v="654"/>
    <n v="1984"/>
    <x v="0"/>
    <x v="751"/>
    <x v="525"/>
    <m/>
    <x v="2"/>
    <n v="3.99"/>
    <x v="748"/>
    <x v="0"/>
    <n v="950.81"/>
    <n v="570.48599999999999"/>
    <n v="7.99"/>
    <n v="751"/>
    <x v="6"/>
    <n v="42120"/>
  </r>
  <r>
    <n v="350"/>
    <n v="1985"/>
    <x v="0"/>
    <x v="752"/>
    <x v="526"/>
    <s v="en-US"/>
    <x v="0"/>
    <n v="4.04"/>
    <x v="749"/>
    <x v="1"/>
    <n v="1182.6300000000001"/>
    <n v="709.57799999999997"/>
    <n v="4.99"/>
    <n v="376"/>
    <x v="6"/>
    <n v="237"/>
  </r>
  <r>
    <n v="229"/>
    <n v="1998"/>
    <x v="0"/>
    <x v="753"/>
    <x v="527"/>
    <s v="eng"/>
    <x v="2"/>
    <n v="4.3"/>
    <x v="750"/>
    <x v="1"/>
    <n v="411.84"/>
    <n v="0"/>
    <n v="0.99"/>
    <n v="250"/>
    <x v="0"/>
    <n v="416"/>
  </r>
  <r>
    <n v="307"/>
    <n v="1991"/>
    <x v="0"/>
    <x v="754"/>
    <x v="527"/>
    <s v="eng"/>
    <x v="2"/>
    <n v="3.77"/>
    <x v="751"/>
    <x v="0"/>
    <n v="1707.15"/>
    <n v="1024.29"/>
    <n v="5.99"/>
    <n v="329"/>
    <x v="1"/>
    <n v="285"/>
  </r>
  <r>
    <n v="682"/>
    <n v="1996"/>
    <x v="0"/>
    <x v="755"/>
    <x v="527"/>
    <s v="eng"/>
    <x v="2"/>
    <n v="3.74"/>
    <x v="752"/>
    <x v="0"/>
    <n v="1022.21"/>
    <n v="613.32600000000002"/>
    <n v="8.59"/>
    <n v="784"/>
    <x v="0"/>
    <n v="36936"/>
  </r>
  <r>
    <n v="112"/>
    <n v="2008"/>
    <x v="1"/>
    <x v="756"/>
    <x v="528"/>
    <s v="en-US"/>
    <x v="2"/>
    <n v="3.9"/>
    <x v="753"/>
    <x v="2"/>
    <n v="7759.2"/>
    <n v="4655.5200000000004"/>
    <n v="8.48"/>
    <n v="117"/>
    <x v="0"/>
    <n v="915"/>
  </r>
  <r>
    <n v="252"/>
    <n v="2009"/>
    <x v="1"/>
    <x v="757"/>
    <x v="528"/>
    <s v="eng"/>
    <x v="2"/>
    <n v="3.93"/>
    <x v="754"/>
    <x v="0"/>
    <n v="1871.25"/>
    <n v="1122.75"/>
    <n v="4.99"/>
    <n v="275"/>
    <x v="6"/>
    <n v="375"/>
  </r>
  <r>
    <n v="274"/>
    <n v="2010"/>
    <x v="1"/>
    <x v="758"/>
    <x v="528"/>
    <s v="eng"/>
    <x v="2"/>
    <n v="3.98"/>
    <x v="755"/>
    <x v="0"/>
    <n v="1019.59"/>
    <n v="0"/>
    <n v="2.99"/>
    <n v="295"/>
    <x v="0"/>
    <n v="341"/>
  </r>
  <r>
    <n v="283"/>
    <n v="2008"/>
    <x v="1"/>
    <x v="759"/>
    <x v="528"/>
    <s v="eng"/>
    <x v="2"/>
    <n v="3.96"/>
    <x v="756"/>
    <x v="2"/>
    <n v="2759.25"/>
    <n v="1655.55"/>
    <n v="8.49"/>
    <n v="305"/>
    <x v="8"/>
    <n v="325"/>
  </r>
  <r>
    <n v="562"/>
    <n v="2011"/>
    <x v="1"/>
    <x v="760"/>
    <x v="528"/>
    <s v="en-US"/>
    <x v="0"/>
    <n v="4.0199999999999996"/>
    <x v="757"/>
    <x v="0"/>
    <n v="675.98"/>
    <n v="405.58800000000002"/>
    <n v="4.63"/>
    <n v="628"/>
    <x v="7"/>
    <n v="3942"/>
  </r>
  <r>
    <n v="48"/>
    <n v="1960"/>
    <x v="0"/>
    <x v="761"/>
    <x v="529"/>
    <s v="eng"/>
    <x v="2"/>
    <n v="4.16"/>
    <x v="758"/>
    <x v="0"/>
    <n v="10596.31"/>
    <n v="6357.7860000000001"/>
    <n v="5.99"/>
    <n v="50"/>
    <x v="2"/>
    <n v="1769"/>
  </r>
  <r>
    <n v="957"/>
    <n v="1961"/>
    <x v="0"/>
    <x v="762"/>
    <x v="529"/>
    <s v="eng"/>
    <x v="0"/>
    <n v="4.08"/>
    <x v="759"/>
    <x v="2"/>
    <n v="1160.8499999999999"/>
    <n v="696.51"/>
    <n v="10.65"/>
    <n v="1130"/>
    <x v="2"/>
    <n v="4280"/>
  </r>
  <r>
    <n v="1034"/>
    <n v="2012"/>
    <x v="1"/>
    <x v="763"/>
    <x v="530"/>
    <s v="eng"/>
    <x v="1"/>
    <n v="3.21"/>
    <x v="760"/>
    <x v="0"/>
    <n v="426.93"/>
    <n v="256.15800000000002"/>
    <n v="3.99"/>
    <n v="1220"/>
    <x v="0"/>
    <n v="107"/>
  </r>
  <r>
    <n v="722"/>
    <n v="1934"/>
    <x v="0"/>
    <x v="764"/>
    <x v="531"/>
    <s v="en-US"/>
    <x v="0"/>
    <n v="4.05"/>
    <x v="761"/>
    <x v="0"/>
    <n v="349.83"/>
    <n v="209.898"/>
    <n v="2.99"/>
    <n v="830"/>
    <x v="0"/>
    <n v="34128"/>
  </r>
  <r>
    <n v="449"/>
    <n v="2006"/>
    <x v="1"/>
    <x v="765"/>
    <x v="532"/>
    <s v="eng"/>
    <x v="0"/>
    <n v="4.18"/>
    <x v="762"/>
    <x v="0"/>
    <n v="350.24"/>
    <n v="0"/>
    <n v="1.99"/>
    <n v="497"/>
    <x v="0"/>
    <n v="4752"/>
  </r>
  <r>
    <n v="560"/>
    <n v="1993"/>
    <x v="0"/>
    <x v="766"/>
    <x v="533"/>
    <s v="nl"/>
    <x v="0"/>
    <n v="4.1100000000000003"/>
    <x v="763"/>
    <x v="0"/>
    <n v="439.53"/>
    <n v="263.71800000000002"/>
    <n v="2.99"/>
    <n v="626"/>
    <x v="0"/>
    <n v="3969"/>
  </r>
  <r>
    <n v="519"/>
    <n v="2008"/>
    <x v="1"/>
    <x v="767"/>
    <x v="534"/>
    <s v="eng"/>
    <x v="2"/>
    <n v="3.96"/>
    <x v="764"/>
    <x v="0"/>
    <n v="1136.02"/>
    <n v="681.61199999999997"/>
    <n v="7.19"/>
    <n v="575"/>
    <x v="0"/>
    <n v="4266"/>
  </r>
  <r>
    <n v="456"/>
    <n v="2011"/>
    <x v="1"/>
    <x v="768"/>
    <x v="535"/>
    <s v="eng"/>
    <x v="0"/>
    <n v="4.3600000000000003"/>
    <x v="765"/>
    <x v="0"/>
    <n v="1842.45"/>
    <n v="1105.47"/>
    <n v="10.65"/>
    <n v="505"/>
    <x v="6"/>
    <n v="4671"/>
  </r>
  <r>
    <n v="980"/>
    <n v="2014"/>
    <x v="1"/>
    <x v="769"/>
    <x v="536"/>
    <s v="eng"/>
    <x v="2"/>
    <n v="3.92"/>
    <x v="766"/>
    <x v="0"/>
    <n v="434.91"/>
    <n v="0"/>
    <n v="3.99"/>
    <n v="1156"/>
    <x v="0"/>
    <n v="4240"/>
  </r>
  <r>
    <n v="244"/>
    <n v="2010"/>
    <x v="1"/>
    <x v="770"/>
    <x v="537"/>
    <s v="en-US"/>
    <x v="2"/>
    <n v="4.1399999999999997"/>
    <x v="767"/>
    <x v="0"/>
    <n v="766.15"/>
    <n v="459.69"/>
    <n v="1.99"/>
    <n v="269"/>
    <x v="6"/>
    <n v="385"/>
  </r>
  <r>
    <n v="321"/>
    <n v="2016"/>
    <x v="1"/>
    <x v="771"/>
    <x v="538"/>
    <s v="eng"/>
    <x v="0"/>
    <n v="4.32"/>
    <x v="768"/>
    <x v="0"/>
    <n v="1041.3900000000001"/>
    <n v="0"/>
    <n v="3.99"/>
    <n v="343"/>
    <x v="0"/>
    <n v="261"/>
  </r>
  <r>
    <n v="998"/>
    <n v="2006"/>
    <x v="1"/>
    <x v="772"/>
    <x v="539"/>
    <s v="eng"/>
    <x v="2"/>
    <n v="3.51"/>
    <x v="769"/>
    <x v="0"/>
    <n v="1327.32"/>
    <n v="796.39200000000005"/>
    <n v="12.29"/>
    <n v="1179"/>
    <x v="8"/>
    <n v="108"/>
  </r>
  <r>
    <n v="675"/>
    <n v="1994"/>
    <x v="0"/>
    <x v="773"/>
    <x v="540"/>
    <s v="eng"/>
    <x v="2"/>
    <n v="3.57"/>
    <x v="770"/>
    <x v="0"/>
    <n v="915.11"/>
    <n v="549.06600000000003"/>
    <n v="7.69"/>
    <n v="775"/>
    <x v="6"/>
    <n v="37584"/>
  </r>
  <r>
    <n v="98"/>
    <n v="1998"/>
    <x v="0"/>
    <x v="774"/>
    <x v="541"/>
    <s v="eng"/>
    <x v="2"/>
    <n v="3.69"/>
    <x v="771"/>
    <x v="0"/>
    <n v="6932.45"/>
    <n v="4159.47"/>
    <n v="6.83"/>
    <n v="99"/>
    <x v="2"/>
    <n v="1015"/>
  </r>
  <r>
    <n v="177"/>
    <n v="2003"/>
    <x v="1"/>
    <x v="775"/>
    <x v="541"/>
    <s v="eng"/>
    <x v="2"/>
    <n v="3.69"/>
    <x v="772"/>
    <x v="0"/>
    <n v="534.6"/>
    <n v="0"/>
    <n v="0.99"/>
    <n v="192"/>
    <x v="0"/>
    <n v="540"/>
  </r>
  <r>
    <n v="975"/>
    <n v="2005"/>
    <x v="1"/>
    <x v="776"/>
    <x v="541"/>
    <s v="eng"/>
    <x v="2"/>
    <n v="3.56"/>
    <x v="773"/>
    <x v="0"/>
    <n v="434.91"/>
    <n v="0"/>
    <n v="3.99"/>
    <n v="1151"/>
    <x v="0"/>
    <n v="4240"/>
  </r>
  <r>
    <n v="938"/>
    <n v="1963"/>
    <x v="0"/>
    <x v="777"/>
    <x v="542"/>
    <s v="eng"/>
    <x v="0"/>
    <n v="4.1500000000000004"/>
    <x v="774"/>
    <x v="0"/>
    <n v="878.9"/>
    <n v="527.34"/>
    <n v="7.99"/>
    <n v="1102"/>
    <x v="2"/>
    <n v="4320"/>
  </r>
  <r>
    <n v="335"/>
    <n v="1974"/>
    <x v="0"/>
    <x v="778"/>
    <x v="543"/>
    <s v="eng"/>
    <x v="2"/>
    <n v="3.96"/>
    <x v="775"/>
    <x v="0"/>
    <n v="1227.54"/>
    <n v="736.524"/>
    <n v="4.99"/>
    <n v="357"/>
    <x v="1"/>
    <n v="246"/>
  </r>
  <r>
    <n v="791"/>
    <n v="1968"/>
    <x v="0"/>
    <x v="779"/>
    <x v="544"/>
    <s v="eng"/>
    <x v="0"/>
    <n v="4.18"/>
    <x v="776"/>
    <x v="0"/>
    <n v="343.85"/>
    <n v="0"/>
    <n v="2.99"/>
    <n v="916"/>
    <x v="0"/>
    <n v="2916"/>
  </r>
  <r>
    <n v="825"/>
    <n v="2008"/>
    <x v="1"/>
    <x v="780"/>
    <x v="545"/>
    <s v="eng"/>
    <x v="0"/>
    <n v="4.2699999999999996"/>
    <x v="777"/>
    <x v="0"/>
    <n v="454.86"/>
    <n v="272.916"/>
    <n v="3.99"/>
    <n v="966"/>
    <x v="0"/>
    <n v="2889"/>
  </r>
  <r>
    <n v="443"/>
    <n v="1962"/>
    <x v="0"/>
    <x v="781"/>
    <x v="546"/>
    <s v="eng"/>
    <x v="2"/>
    <n v="3.66"/>
    <x v="778"/>
    <x v="0"/>
    <n v="2280.46"/>
    <n v="1368.2760000000001"/>
    <n v="12.74"/>
    <n v="492"/>
    <x v="7"/>
    <n v="4833"/>
  </r>
  <r>
    <n v="406"/>
    <n v="2000"/>
    <x v="1"/>
    <x v="782"/>
    <x v="547"/>
    <s v="eng"/>
    <x v="0"/>
    <n v="4.25"/>
    <x v="779"/>
    <x v="0"/>
    <n v="603.98"/>
    <n v="0"/>
    <n v="2.99"/>
    <n v="445"/>
    <x v="0"/>
    <n v="5454"/>
  </r>
  <r>
    <n v="169"/>
    <n v="2005"/>
    <x v="1"/>
    <x v="783"/>
    <x v="548"/>
    <s v="en-US"/>
    <x v="2"/>
    <n v="3.88"/>
    <x v="780"/>
    <x v="0"/>
    <n v="3564.05"/>
    <n v="2138.4299999999998"/>
    <n v="5.99"/>
    <n v="181"/>
    <x v="2"/>
    <n v="595"/>
  </r>
  <r>
    <n v="233"/>
    <n v="2009"/>
    <x v="1"/>
    <x v="784"/>
    <x v="548"/>
    <s v="eng"/>
    <x v="2"/>
    <n v="3.9"/>
    <x v="781"/>
    <x v="0"/>
    <n v="1685.04"/>
    <n v="1011.024"/>
    <n v="4.13"/>
    <n v="255"/>
    <x v="0"/>
    <n v="408"/>
  </r>
  <r>
    <n v="970"/>
    <n v="2003"/>
    <x v="1"/>
    <x v="785"/>
    <x v="548"/>
    <s v="en-US"/>
    <x v="2"/>
    <n v="3.83"/>
    <x v="782"/>
    <x v="0"/>
    <n v="598.41"/>
    <n v="359.04599999999999"/>
    <n v="5.49"/>
    <n v="1148"/>
    <x v="1"/>
    <n v="4240"/>
  </r>
  <r>
    <n v="1006"/>
    <n v="2006"/>
    <x v="1"/>
    <x v="786"/>
    <x v="548"/>
    <s v="eng"/>
    <x v="2"/>
    <n v="3.84"/>
    <x v="783"/>
    <x v="0"/>
    <n v="646.91999999999996"/>
    <n v="388.15199999999999"/>
    <n v="5.99"/>
    <n v="1193"/>
    <x v="7"/>
    <n v="108"/>
  </r>
  <r>
    <n v="327"/>
    <n v="2014"/>
    <x v="1"/>
    <x v="787"/>
    <x v="549"/>
    <s v="eng"/>
    <x v="0"/>
    <n v="4.26"/>
    <x v="784"/>
    <x v="0"/>
    <n v="246.51"/>
    <n v="147.90600000000001"/>
    <n v="0.99"/>
    <n v="351"/>
    <x v="0"/>
    <n v="249"/>
  </r>
  <r>
    <n v="810"/>
    <n v="2015"/>
    <x v="1"/>
    <x v="788"/>
    <x v="549"/>
    <s v="eng"/>
    <x v="3"/>
    <n v="4.46"/>
    <x v="785"/>
    <x v="0"/>
    <n v="112.86"/>
    <n v="0"/>
    <n v="0.99"/>
    <n v="946"/>
    <x v="0"/>
    <n v="2916"/>
  </r>
  <r>
    <n v="86"/>
    <n v="2010"/>
    <x v="1"/>
    <x v="789"/>
    <x v="550"/>
    <s v="eng"/>
    <x v="2"/>
    <n v="3.7"/>
    <x v="786"/>
    <x v="2"/>
    <n v="2388"/>
    <n v="0"/>
    <n v="1.99"/>
    <n v="87"/>
    <x v="0"/>
    <n v="1200"/>
  </r>
  <r>
    <n v="477"/>
    <n v="2011"/>
    <x v="1"/>
    <x v="790"/>
    <x v="551"/>
    <s v="eng"/>
    <x v="0"/>
    <n v="4.17"/>
    <x v="787"/>
    <x v="2"/>
    <n v="1843.79"/>
    <n v="1106.2739999999999"/>
    <n v="10.91"/>
    <n v="526"/>
    <x v="3"/>
    <n v="4563"/>
  </r>
  <r>
    <n v="241"/>
    <n v="-380"/>
    <x v="2"/>
    <x v="791"/>
    <x v="552"/>
    <s v="eng"/>
    <x v="2"/>
    <n v="3.9"/>
    <x v="788"/>
    <x v="0"/>
    <n v="387.09"/>
    <n v="232.25399999999999"/>
    <n v="0.99"/>
    <n v="265"/>
    <x v="0"/>
    <n v="391"/>
  </r>
  <r>
    <n v="1052"/>
    <n v="2006"/>
    <x v="1"/>
    <x v="792"/>
    <x v="553"/>
    <s v="en-US"/>
    <x v="2"/>
    <n v="3.73"/>
    <x v="789"/>
    <x v="0"/>
    <n v="846.94"/>
    <n v="508.16399999999999"/>
    <n v="7.99"/>
    <n v="1247"/>
    <x v="6"/>
    <n v="106"/>
  </r>
  <r>
    <n v="609"/>
    <n v="2010"/>
    <x v="1"/>
    <x v="793"/>
    <x v="554"/>
    <s v="eng"/>
    <x v="2"/>
    <n v="3.96"/>
    <x v="790"/>
    <x v="2"/>
    <n v="526.67999999999995"/>
    <n v="0"/>
    <n v="3.99"/>
    <n v="693"/>
    <x v="0"/>
    <n v="50544"/>
  </r>
  <r>
    <n v="305"/>
    <n v="2012"/>
    <x v="1"/>
    <x v="794"/>
    <x v="555"/>
    <s v="eng"/>
    <x v="2"/>
    <n v="3.89"/>
    <x v="791"/>
    <x v="0"/>
    <n v="3694.6"/>
    <n v="2216.7600000000002"/>
    <n v="12.74"/>
    <n v="326"/>
    <x v="7"/>
    <n v="290"/>
  </r>
  <r>
    <n v="314"/>
    <n v="2009"/>
    <x v="1"/>
    <x v="795"/>
    <x v="556"/>
    <s v="eng"/>
    <x v="0"/>
    <n v="4.1900000000000004"/>
    <x v="792"/>
    <x v="0"/>
    <n v="2618.0700000000002"/>
    <n v="1570.8420000000001"/>
    <n v="9.59"/>
    <n v="336"/>
    <x v="8"/>
    <n v="273"/>
  </r>
  <r>
    <n v="282"/>
    <n v="2014"/>
    <x v="1"/>
    <x v="796"/>
    <x v="557"/>
    <s v="eng"/>
    <x v="2"/>
    <n v="3.55"/>
    <x v="793"/>
    <x v="0"/>
    <n v="1300.74"/>
    <n v="0"/>
    <n v="3.99"/>
    <n v="304"/>
    <x v="0"/>
    <n v="326"/>
  </r>
  <r>
    <n v="460"/>
    <n v="2011"/>
    <x v="1"/>
    <x v="797"/>
    <x v="557"/>
    <s v="eng"/>
    <x v="2"/>
    <n v="3.95"/>
    <x v="794"/>
    <x v="0"/>
    <n v="170.28"/>
    <n v="102.16800000000001"/>
    <n v="0.99"/>
    <n v="511"/>
    <x v="0"/>
    <n v="4644"/>
  </r>
  <r>
    <n v="205"/>
    <n v="1952"/>
    <x v="0"/>
    <x v="798"/>
    <x v="558"/>
    <s v="eng"/>
    <x v="2"/>
    <n v="3.84"/>
    <x v="795"/>
    <x v="0"/>
    <n v="455.4"/>
    <n v="0"/>
    <n v="0.99"/>
    <n v="224"/>
    <x v="0"/>
    <n v="460"/>
  </r>
  <r>
    <n v="996"/>
    <n v="2014"/>
    <x v="1"/>
    <x v="799"/>
    <x v="559"/>
    <s v="eng"/>
    <x v="0"/>
    <n v="4.17"/>
    <x v="796"/>
    <x v="0"/>
    <n v="1150.2"/>
    <n v="690.12"/>
    <n v="10.65"/>
    <n v="1174"/>
    <x v="2"/>
    <n v="108"/>
  </r>
  <r>
    <n v="353"/>
    <n v="2014"/>
    <x v="1"/>
    <x v="800"/>
    <x v="560"/>
    <s v="eng"/>
    <x v="0"/>
    <n v="4.07"/>
    <x v="797"/>
    <x v="0"/>
    <n v="1642.65"/>
    <n v="985.59"/>
    <n v="6.99"/>
    <n v="380"/>
    <x v="2"/>
    <n v="235"/>
  </r>
  <r>
    <n v="106"/>
    <n v="1950"/>
    <x v="0"/>
    <x v="801"/>
    <x v="561"/>
    <s v="en-US"/>
    <x v="2"/>
    <n v="4.12"/>
    <x v="798"/>
    <x v="0"/>
    <n v="1880.55"/>
    <n v="0"/>
    <n v="1.99"/>
    <n v="111"/>
    <x v="0"/>
    <n v="945"/>
  </r>
  <r>
    <n v="629"/>
    <n v="1939"/>
    <x v="0"/>
    <x v="802"/>
    <x v="562"/>
    <s v="eng"/>
    <x v="0"/>
    <n v="4.04"/>
    <x v="799"/>
    <x v="0"/>
    <n v="126.72"/>
    <n v="76.031999999999996"/>
    <n v="0.99"/>
    <n v="713"/>
    <x v="0"/>
    <n v="47088"/>
  </r>
  <r>
    <n v="1062"/>
    <n v="1982"/>
    <x v="0"/>
    <x v="803"/>
    <x v="563"/>
    <s v="en-US"/>
    <x v="0"/>
    <n v="4.17"/>
    <x v="800"/>
    <x v="0"/>
    <n v="815.14"/>
    <n v="489.084"/>
    <n v="7.69"/>
    <n v="1265"/>
    <x v="6"/>
    <n v="106"/>
  </r>
  <r>
    <n v="738"/>
    <n v="1994"/>
    <x v="0"/>
    <x v="804"/>
    <x v="564"/>
    <s v="eng"/>
    <x v="0"/>
    <n v="4.0999999999999996"/>
    <x v="801"/>
    <x v="0"/>
    <n v="349.83"/>
    <n v="0"/>
    <n v="2.99"/>
    <n v="846"/>
    <x v="0"/>
    <n v="32616"/>
  </r>
  <r>
    <n v="75"/>
    <n v="1970"/>
    <x v="0"/>
    <x v="805"/>
    <x v="565"/>
    <s v="en-US"/>
    <x v="2"/>
    <n v="3.8"/>
    <x v="802"/>
    <x v="0"/>
    <n v="6751.47"/>
    <n v="0"/>
    <n v="4.99"/>
    <n v="77"/>
    <x v="0"/>
    <n v="1353"/>
  </r>
  <r>
    <n v="174"/>
    <n v="1984"/>
    <x v="0"/>
    <x v="806"/>
    <x v="566"/>
    <s v="en-GB"/>
    <x v="2"/>
    <n v="3.66"/>
    <x v="803"/>
    <x v="0"/>
    <n v="1659.45"/>
    <n v="0"/>
    <n v="2.99"/>
    <n v="189"/>
    <x v="0"/>
    <n v="555"/>
  </r>
  <r>
    <n v="757"/>
    <n v="1979"/>
    <x v="0"/>
    <x v="807"/>
    <x v="566"/>
    <s v="eng"/>
    <x v="0"/>
    <n v="4.1100000000000003"/>
    <x v="804"/>
    <x v="1"/>
    <n v="462.84"/>
    <n v="277.70400000000001"/>
    <n v="3.99"/>
    <n v="871"/>
    <x v="7"/>
    <n v="31320"/>
  </r>
  <r>
    <n v="799"/>
    <n v="1997"/>
    <x v="0"/>
    <x v="808"/>
    <x v="567"/>
    <s v="eng"/>
    <x v="2"/>
    <n v="3.95"/>
    <x v="805"/>
    <x v="0"/>
    <n v="884.35"/>
    <n v="530.61"/>
    <n v="7.69"/>
    <n v="927"/>
    <x v="6"/>
    <n v="2916"/>
  </r>
  <r>
    <n v="369"/>
    <n v="1976"/>
    <x v="0"/>
    <x v="809"/>
    <x v="568"/>
    <s v="eng"/>
    <x v="0"/>
    <n v="4.1100000000000003"/>
    <x v="806"/>
    <x v="0"/>
    <n v="897.75"/>
    <n v="538.65"/>
    <n v="3.99"/>
    <n v="400"/>
    <x v="0"/>
    <n v="6075"/>
  </r>
  <r>
    <n v="425"/>
    <n v="1984"/>
    <x v="0"/>
    <x v="810"/>
    <x v="569"/>
    <s v="en-US"/>
    <x v="0"/>
    <n v="4.29"/>
    <x v="807"/>
    <x v="0"/>
    <n v="948.1"/>
    <n v="0"/>
    <n v="4.99"/>
    <n v="470"/>
    <x v="0"/>
    <n v="5130"/>
  </r>
  <r>
    <n v="398"/>
    <n v="1954"/>
    <x v="0"/>
    <x v="811"/>
    <x v="570"/>
    <s v="eng"/>
    <x v="2"/>
    <n v="3.99"/>
    <x v="808"/>
    <x v="0"/>
    <n v="621.91999999999996"/>
    <n v="0"/>
    <n v="2.99"/>
    <n v="433"/>
    <x v="0"/>
    <n v="5616"/>
  </r>
  <r>
    <n v="417"/>
    <n v="2001"/>
    <x v="1"/>
    <x v="812"/>
    <x v="571"/>
    <s v="eng"/>
    <x v="2"/>
    <n v="3.91"/>
    <x v="809"/>
    <x v="0"/>
    <n v="586.04"/>
    <n v="0"/>
    <n v="2.99"/>
    <n v="458"/>
    <x v="0"/>
    <n v="5292"/>
  </r>
  <r>
    <n v="880"/>
    <n v="1940"/>
    <x v="0"/>
    <x v="813"/>
    <x v="572"/>
    <s v="eng"/>
    <x v="2"/>
    <n v="3.96"/>
    <x v="810"/>
    <x v="0"/>
    <n v="334.88"/>
    <n v="0"/>
    <n v="2.99"/>
    <n v="1033"/>
    <x v="0"/>
    <n v="4440"/>
  </r>
  <r>
    <n v="1051"/>
    <n v="1961"/>
    <x v="0"/>
    <x v="814"/>
    <x v="573"/>
    <s v="eng"/>
    <x v="2"/>
    <n v="3.89"/>
    <x v="811"/>
    <x v="0"/>
    <n v="735.64"/>
    <n v="441.38400000000001"/>
    <n v="6.94"/>
    <n v="1244"/>
    <x v="2"/>
    <n v="106"/>
  </r>
  <r>
    <n v="12"/>
    <n v="2010"/>
    <x v="1"/>
    <x v="815"/>
    <x v="574"/>
    <s v="eng"/>
    <x v="3"/>
    <n v="4.42"/>
    <x v="812"/>
    <x v="0"/>
    <n v="3431.34"/>
    <n v="0"/>
    <n v="0.99"/>
    <n v="13"/>
    <x v="0"/>
    <n v="3466"/>
  </r>
  <r>
    <n v="228"/>
    <n v="2011"/>
    <x v="1"/>
    <x v="816"/>
    <x v="574"/>
    <s v="en-US"/>
    <x v="2"/>
    <n v="4.22"/>
    <x v="813"/>
    <x v="0"/>
    <n v="413.82"/>
    <n v="248.292"/>
    <n v="0.99"/>
    <n v="249"/>
    <x v="3"/>
    <n v="418"/>
  </r>
  <r>
    <n v="885"/>
    <n v="2012"/>
    <x v="1"/>
    <x v="817"/>
    <x v="574"/>
    <s v="en-US"/>
    <x v="0"/>
    <n v="4.3600000000000003"/>
    <x v="814"/>
    <x v="0"/>
    <n v="1230.8800000000001"/>
    <n v="738.52800000000002"/>
    <n v="10.99"/>
    <n v="1037"/>
    <x v="2"/>
    <n v="4440"/>
  </r>
  <r>
    <n v="153"/>
    <n v="2013"/>
    <x v="1"/>
    <x v="818"/>
    <x v="575"/>
    <s v="eng"/>
    <x v="3"/>
    <n v="4.54"/>
    <x v="815"/>
    <x v="1"/>
    <n v="668.25"/>
    <n v="400.95"/>
    <n v="0.99"/>
    <n v="165"/>
    <x v="0"/>
    <n v="675"/>
  </r>
  <r>
    <n v="378"/>
    <n v="2011"/>
    <x v="1"/>
    <x v="819"/>
    <x v="575"/>
    <s v="eng"/>
    <x v="0"/>
    <n v="4.2"/>
    <x v="816"/>
    <x v="1"/>
    <n v="2067.36"/>
    <n v="1240.4159999999999"/>
    <n v="9.44"/>
    <n v="411"/>
    <x v="0"/>
    <n v="5913"/>
  </r>
  <r>
    <n v="496"/>
    <n v="2014"/>
    <x v="1"/>
    <x v="820"/>
    <x v="575"/>
    <s v="eng"/>
    <x v="3"/>
    <n v="4.41"/>
    <x v="817"/>
    <x v="0"/>
    <n v="162.36000000000001"/>
    <n v="97.415999999999997"/>
    <n v="0.99"/>
    <n v="549"/>
    <x v="0"/>
    <n v="4428"/>
  </r>
  <r>
    <n v="828"/>
    <n v="2012"/>
    <x v="1"/>
    <x v="821"/>
    <x v="575"/>
    <s v="eng"/>
    <x v="0"/>
    <n v="4.28"/>
    <x v="818"/>
    <x v="0"/>
    <n v="345.42"/>
    <n v="0"/>
    <n v="3.03"/>
    <n v="968"/>
    <x v="0"/>
    <n v="2889"/>
  </r>
  <r>
    <n v="835"/>
    <n v="2014"/>
    <x v="1"/>
    <x v="822"/>
    <x v="576"/>
    <s v="eng"/>
    <x v="2"/>
    <n v="3.94"/>
    <x v="819"/>
    <x v="0"/>
    <n v="454.86"/>
    <n v="0"/>
    <n v="3.99"/>
    <n v="973"/>
    <x v="0"/>
    <n v="2889"/>
  </r>
  <r>
    <n v="727"/>
    <n v="1980"/>
    <x v="0"/>
    <x v="823"/>
    <x v="577"/>
    <s v="eng"/>
    <x v="2"/>
    <n v="3.94"/>
    <x v="820"/>
    <x v="0"/>
    <n v="855.27"/>
    <n v="513.16200000000003"/>
    <n v="7.31"/>
    <n v="836"/>
    <x v="6"/>
    <n v="33696"/>
  </r>
  <r>
    <n v="102"/>
    <n v="1959"/>
    <x v="0"/>
    <x v="824"/>
    <x v="578"/>
    <s v="en-CA"/>
    <x v="2"/>
    <n v="3.99"/>
    <x v="821"/>
    <x v="0"/>
    <n v="7312.5"/>
    <n v="4387.5"/>
    <n v="7.5"/>
    <n v="105"/>
    <x v="7"/>
    <n v="975"/>
  </r>
  <r>
    <n v="648"/>
    <n v="1966"/>
    <x v="0"/>
    <x v="825"/>
    <x v="578"/>
    <s v="eng"/>
    <x v="0"/>
    <n v="4.17"/>
    <x v="822"/>
    <x v="0"/>
    <n v="930.49"/>
    <n v="558.29399999999998"/>
    <n v="7.69"/>
    <n v="743"/>
    <x v="2"/>
    <n v="43416"/>
  </r>
  <r>
    <n v="207"/>
    <n v="1971"/>
    <x v="0"/>
    <x v="826"/>
    <x v="579"/>
    <m/>
    <x v="2"/>
    <n v="4.13"/>
    <x v="823"/>
    <x v="0"/>
    <n v="1815.45"/>
    <n v="1089.27"/>
    <n v="3.99"/>
    <n v="227"/>
    <x v="0"/>
    <n v="455"/>
  </r>
  <r>
    <n v="164"/>
    <n v="2014"/>
    <x v="1"/>
    <x v="827"/>
    <x v="580"/>
    <s v="eng"/>
    <x v="2"/>
    <n v="4.03"/>
    <x v="824"/>
    <x v="0"/>
    <n v="608.85"/>
    <n v="0"/>
    <n v="0.99"/>
    <n v="177"/>
    <x v="0"/>
    <n v="615"/>
  </r>
  <r>
    <n v="534"/>
    <n v="2015"/>
    <x v="1"/>
    <x v="828"/>
    <x v="580"/>
    <s v="eng"/>
    <x v="0"/>
    <n v="4.21"/>
    <x v="825"/>
    <x v="0"/>
    <n v="1167.32"/>
    <n v="700.39200000000005"/>
    <n v="7.58"/>
    <n v="595"/>
    <x v="2"/>
    <n v="4158"/>
  </r>
  <r>
    <n v="191"/>
    <n v="1992"/>
    <x v="0"/>
    <x v="829"/>
    <x v="581"/>
    <s v="en-US"/>
    <x v="2"/>
    <n v="4.21"/>
    <x v="826"/>
    <x v="1"/>
    <n v="2057.58"/>
    <n v="1234.548"/>
    <n v="4.26"/>
    <n v="210"/>
    <x v="4"/>
    <n v="483"/>
  </r>
  <r>
    <n v="418"/>
    <n v="1993"/>
    <x v="0"/>
    <x v="830"/>
    <x v="581"/>
    <s v="en-US"/>
    <x v="0"/>
    <n v="4.13"/>
    <x v="827"/>
    <x v="3"/>
    <n v="1480.05"/>
    <n v="888.03"/>
    <n v="7.59"/>
    <n v="459"/>
    <x v="6"/>
    <n v="5265"/>
  </r>
  <r>
    <n v="588"/>
    <n v="1996"/>
    <x v="0"/>
    <x v="831"/>
    <x v="581"/>
    <s v="eng"/>
    <x v="2"/>
    <n v="4"/>
    <x v="828"/>
    <x v="1"/>
    <n v="137.61000000000001"/>
    <n v="0"/>
    <n v="0.99"/>
    <n v="661"/>
    <x v="0"/>
    <n v="54000"/>
  </r>
  <r>
    <n v="718"/>
    <n v="1998"/>
    <x v="0"/>
    <x v="832"/>
    <x v="581"/>
    <s v="eng"/>
    <x v="2"/>
    <n v="3.9"/>
    <x v="829"/>
    <x v="0"/>
    <n v="234.82"/>
    <n v="140.892"/>
    <n v="1.99"/>
    <n v="824"/>
    <x v="0"/>
    <n v="34560"/>
  </r>
  <r>
    <n v="747"/>
    <n v="2005"/>
    <x v="1"/>
    <x v="833"/>
    <x v="581"/>
    <s v="en-US"/>
    <x v="0"/>
    <n v="4.12"/>
    <x v="830"/>
    <x v="0"/>
    <n v="349.83"/>
    <n v="0"/>
    <n v="2.99"/>
    <n v="860"/>
    <x v="0"/>
    <n v="31752"/>
  </r>
  <r>
    <n v="994"/>
    <n v="2003"/>
    <x v="1"/>
    <x v="834"/>
    <x v="581"/>
    <s v="en-US"/>
    <x v="2"/>
    <n v="3.82"/>
    <x v="831"/>
    <x v="0"/>
    <n v="430.92"/>
    <n v="0"/>
    <n v="3.99"/>
    <n v="1170"/>
    <x v="0"/>
    <n v="108"/>
  </r>
  <r>
    <n v="429"/>
    <n v="2009"/>
    <x v="1"/>
    <x v="835"/>
    <x v="582"/>
    <s v="eng"/>
    <x v="0"/>
    <n v="4.34"/>
    <x v="832"/>
    <x v="0"/>
    <n v="750.12"/>
    <n v="0"/>
    <n v="3.99"/>
    <n v="473"/>
    <x v="0"/>
    <n v="5076"/>
  </r>
  <r>
    <n v="457"/>
    <n v="2010"/>
    <x v="1"/>
    <x v="836"/>
    <x v="582"/>
    <s v="en-US"/>
    <x v="3"/>
    <n v="4.42"/>
    <x v="833"/>
    <x v="2"/>
    <n v="344.27"/>
    <n v="206.56200000000001"/>
    <n v="1.99"/>
    <n v="505"/>
    <x v="0"/>
    <n v="4671"/>
  </r>
  <r>
    <n v="843"/>
    <n v="2012"/>
    <x v="1"/>
    <x v="837"/>
    <x v="582"/>
    <s v="eng"/>
    <x v="3"/>
    <n v="4.5"/>
    <x v="834"/>
    <x v="0"/>
    <n v="450.87"/>
    <n v="0"/>
    <n v="3.99"/>
    <n v="986"/>
    <x v="0"/>
    <n v="2889"/>
  </r>
  <r>
    <n v="873"/>
    <n v="2011"/>
    <x v="1"/>
    <x v="838"/>
    <x v="583"/>
    <s v="en-CA"/>
    <x v="2"/>
    <n v="3.91"/>
    <x v="835"/>
    <x v="0"/>
    <n v="110.88"/>
    <n v="0"/>
    <n v="0.99"/>
    <n v="1023"/>
    <x v="0"/>
    <n v="4480"/>
  </r>
  <r>
    <n v="920"/>
    <n v="2009"/>
    <x v="1"/>
    <x v="839"/>
    <x v="584"/>
    <s v="eng"/>
    <x v="3"/>
    <n v="4.43"/>
    <x v="836"/>
    <x v="0"/>
    <n v="331.89"/>
    <n v="0"/>
    <n v="2.99"/>
    <n v="1078"/>
    <x v="0"/>
    <n v="4360"/>
  </r>
  <r>
    <n v="823"/>
    <n v="1886"/>
    <x v="2"/>
    <x v="840"/>
    <x v="585"/>
    <s v="eng"/>
    <x v="2"/>
    <n v="3.94"/>
    <x v="837"/>
    <x v="0"/>
    <n v="568.86"/>
    <n v="341.31599999999997"/>
    <n v="4.99"/>
    <n v="963"/>
    <x v="6"/>
    <n v="2889"/>
  </r>
  <r>
    <n v="57"/>
    <n v="1986"/>
    <x v="0"/>
    <x v="841"/>
    <x v="586"/>
    <s v="en-US"/>
    <x v="2"/>
    <n v="4.09"/>
    <x v="838"/>
    <x v="0"/>
    <n v="17783.3"/>
    <n v="10669.98"/>
    <n v="10.91"/>
    <n v="59"/>
    <x v="2"/>
    <n v="1630"/>
  </r>
  <r>
    <n v="15"/>
    <n v="1974"/>
    <x v="0"/>
    <x v="842"/>
    <x v="587"/>
    <s v="eng"/>
    <x v="2"/>
    <n v="3.76"/>
    <x v="839"/>
    <x v="0"/>
    <n v="16297.34"/>
    <n v="0"/>
    <n v="4.99"/>
    <n v="16"/>
    <x v="0"/>
    <n v="3266"/>
  </r>
  <r>
    <n v="916"/>
    <n v="1941"/>
    <x v="0"/>
    <x v="843"/>
    <x v="588"/>
    <m/>
    <x v="0"/>
    <n v="4.21"/>
    <x v="840"/>
    <x v="1"/>
    <n v="637.14"/>
    <n v="382.28399999999999"/>
    <n v="5.74"/>
    <n v="1074"/>
    <x v="8"/>
    <n v="4360"/>
  </r>
  <r>
    <n v="77"/>
    <n v="1986"/>
    <x v="0"/>
    <x v="844"/>
    <x v="589"/>
    <s v="en-GB"/>
    <x v="2"/>
    <n v="4.34"/>
    <x v="841"/>
    <x v="0"/>
    <n v="1309.77"/>
    <n v="785.86199999999997"/>
    <n v="0.99"/>
    <n v="79"/>
    <x v="0"/>
    <n v="1323"/>
  </r>
  <r>
    <n v="51"/>
    <n v="1997"/>
    <x v="0"/>
    <x v="845"/>
    <x v="590"/>
    <s v="eng"/>
    <x v="2"/>
    <n v="3.95"/>
    <x v="842"/>
    <x v="0"/>
    <n v="1705.77"/>
    <n v="1023.462"/>
    <n v="0.99"/>
    <n v="53"/>
    <x v="6"/>
    <n v="1723"/>
  </r>
  <r>
    <n v="67"/>
    <n v="1995"/>
    <x v="0"/>
    <x v="846"/>
    <x v="591"/>
    <s v="eng"/>
    <x v="2"/>
    <n v="4.1399999999999997"/>
    <x v="843"/>
    <x v="0"/>
    <n v="2907.39"/>
    <n v="0"/>
    <n v="1.99"/>
    <n v="70"/>
    <x v="0"/>
    <n v="1461"/>
  </r>
  <r>
    <n v="487"/>
    <n v="1996"/>
    <x v="0"/>
    <x v="847"/>
    <x v="591"/>
    <s v="eng"/>
    <x v="0"/>
    <n v="4.21"/>
    <x v="844"/>
    <x v="2"/>
    <n v="164.34"/>
    <n v="0"/>
    <n v="0.99"/>
    <n v="538"/>
    <x v="0"/>
    <n v="4482"/>
  </r>
  <r>
    <n v="715"/>
    <n v="1997"/>
    <x v="0"/>
    <x v="848"/>
    <x v="591"/>
    <s v="eng"/>
    <x v="0"/>
    <n v="4.18"/>
    <x v="845"/>
    <x v="0"/>
    <n v="470.82"/>
    <n v="0"/>
    <n v="3.99"/>
    <n v="821"/>
    <x v="0"/>
    <n v="34776"/>
  </r>
  <r>
    <n v="658"/>
    <n v="1996"/>
    <x v="0"/>
    <x v="849"/>
    <x v="592"/>
    <s v="eng"/>
    <x v="2"/>
    <n v="3.77"/>
    <x v="846"/>
    <x v="0"/>
    <n v="117.81"/>
    <n v="0"/>
    <n v="0.99"/>
    <n v="759"/>
    <x v="0"/>
    <n v="40824"/>
  </r>
  <r>
    <n v="319"/>
    <n v="2012"/>
    <x v="1"/>
    <x v="850"/>
    <x v="593"/>
    <s v="eng"/>
    <x v="2"/>
    <n v="3.75"/>
    <x v="847"/>
    <x v="0"/>
    <n v="1719.85"/>
    <n v="1031.9100000000001"/>
    <n v="6.49"/>
    <n v="341"/>
    <x v="7"/>
    <n v="265"/>
  </r>
  <r>
    <n v="248"/>
    <n v="1996"/>
    <x v="0"/>
    <x v="851"/>
    <x v="594"/>
    <s v="eng"/>
    <x v="2"/>
    <n v="4.34"/>
    <x v="848"/>
    <x v="0"/>
    <n v="1136.2"/>
    <n v="681.72"/>
    <n v="2.99"/>
    <n v="272"/>
    <x v="1"/>
    <n v="380"/>
  </r>
  <r>
    <n v="709"/>
    <n v="1891"/>
    <x v="2"/>
    <x v="852"/>
    <x v="595"/>
    <m/>
    <x v="0"/>
    <n v="4.22"/>
    <x v="849"/>
    <x v="1"/>
    <n v="352.82"/>
    <n v="211.69200000000001"/>
    <n v="2.99"/>
    <n v="814"/>
    <x v="0"/>
    <n v="35208"/>
  </r>
  <r>
    <n v="706"/>
    <n v="1987"/>
    <x v="0"/>
    <x v="853"/>
    <x v="596"/>
    <s v="eng"/>
    <x v="0"/>
    <n v="4.13"/>
    <x v="850"/>
    <x v="0"/>
    <n v="588.82000000000005"/>
    <n v="0"/>
    <n v="4.99"/>
    <n v="811"/>
    <x v="0"/>
    <n v="35424"/>
  </r>
  <r>
    <n v="796"/>
    <n v="1894"/>
    <x v="2"/>
    <x v="854"/>
    <x v="597"/>
    <s v="eng"/>
    <x v="2"/>
    <n v="3.94"/>
    <x v="851"/>
    <x v="2"/>
    <n v="113.85"/>
    <n v="68.31"/>
    <n v="0.99"/>
    <n v="922"/>
    <x v="0"/>
    <n v="2916"/>
  </r>
  <r>
    <n v="661"/>
    <n v="2011"/>
    <x v="1"/>
    <x v="855"/>
    <x v="598"/>
    <s v="eng"/>
    <x v="0"/>
    <n v="4.3600000000000003"/>
    <x v="852"/>
    <x v="0"/>
    <n v="236.81"/>
    <n v="142.08600000000001"/>
    <n v="1.99"/>
    <n v="761"/>
    <x v="0"/>
    <n v="40176"/>
  </r>
  <r>
    <n v="902"/>
    <n v="2016"/>
    <x v="1"/>
    <x v="856"/>
    <x v="599"/>
    <s v="eng"/>
    <x v="2"/>
    <n v="3.67"/>
    <x v="853"/>
    <x v="1"/>
    <n v="109.89"/>
    <n v="65.933999999999997"/>
    <n v="0.99"/>
    <n v="1058"/>
    <x v="0"/>
    <n v="4400"/>
  </r>
  <r>
    <n v="977"/>
    <n v="2015"/>
    <x v="1"/>
    <x v="857"/>
    <x v="599"/>
    <s v="eng"/>
    <x v="2"/>
    <n v="3.65"/>
    <x v="854"/>
    <x v="0"/>
    <n v="107.91"/>
    <n v="0"/>
    <n v="0.99"/>
    <n v="1153"/>
    <x v="0"/>
    <n v="4240"/>
  </r>
  <r>
    <n v="434"/>
    <n v="2009"/>
    <x v="1"/>
    <x v="858"/>
    <x v="600"/>
    <s v="eng"/>
    <x v="0"/>
    <n v="4.12"/>
    <x v="855"/>
    <x v="0"/>
    <n v="1114.1400000000001"/>
    <n v="668.48400000000004"/>
    <n v="5.99"/>
    <n v="478"/>
    <x v="2"/>
    <n v="5022"/>
  </r>
  <r>
    <n v="505"/>
    <n v="2011"/>
    <x v="1"/>
    <x v="859"/>
    <x v="600"/>
    <s v="eng"/>
    <x v="0"/>
    <n v="4.37"/>
    <x v="492"/>
    <x v="0"/>
    <n v="160.38"/>
    <n v="96.227999999999994"/>
    <n v="0.99"/>
    <n v="558"/>
    <x v="0"/>
    <n v="4374"/>
  </r>
  <r>
    <n v="941"/>
    <n v="2015"/>
    <x v="1"/>
    <x v="860"/>
    <x v="601"/>
    <s v="eng"/>
    <x v="0"/>
    <n v="4.32"/>
    <x v="856"/>
    <x v="0"/>
    <n v="603.9"/>
    <n v="362.34"/>
    <n v="5.49"/>
    <n v="1106"/>
    <x v="8"/>
    <n v="4320"/>
  </r>
  <r>
    <n v="524"/>
    <n v="1981"/>
    <x v="0"/>
    <x v="861"/>
    <x v="602"/>
    <s v="eng"/>
    <x v="2"/>
    <n v="3.99"/>
    <x v="857"/>
    <x v="1"/>
    <n v="1474.23"/>
    <n v="884.53800000000001"/>
    <n v="9.39"/>
    <n v="581"/>
    <x v="0"/>
    <n v="4239"/>
  </r>
  <r>
    <n v="332"/>
    <n v="1988"/>
    <x v="0"/>
    <x v="862"/>
    <x v="603"/>
    <s v="en-US"/>
    <x v="0"/>
    <n v="4.3600000000000003"/>
    <x v="858"/>
    <x v="0"/>
    <n v="738.53"/>
    <n v="0"/>
    <n v="2.99"/>
    <n v="355"/>
    <x v="0"/>
    <n v="247"/>
  </r>
  <r>
    <n v="265"/>
    <n v="2012"/>
    <x v="1"/>
    <x v="863"/>
    <x v="604"/>
    <s v="eng"/>
    <x v="2"/>
    <n v="4.24"/>
    <x v="859"/>
    <x v="1"/>
    <n v="3905.78"/>
    <n v="2343.4679999999998"/>
    <n v="10.91"/>
    <n v="285"/>
    <x v="6"/>
    <n v="358"/>
  </r>
  <r>
    <n v="403"/>
    <n v="1952"/>
    <x v="0"/>
    <x v="864"/>
    <x v="605"/>
    <s v="eng"/>
    <x v="2"/>
    <n v="3.81"/>
    <x v="860"/>
    <x v="0"/>
    <n v="1621.97"/>
    <n v="973.18200000000002"/>
    <n v="7.99"/>
    <n v="444"/>
    <x v="2"/>
    <n v="5481"/>
  </r>
  <r>
    <n v="724"/>
    <n v="1984"/>
    <x v="0"/>
    <x v="865"/>
    <x v="606"/>
    <s v="eng"/>
    <x v="2"/>
    <n v="3.57"/>
    <x v="861"/>
    <x v="0"/>
    <n v="115.83"/>
    <n v="0"/>
    <n v="0.99"/>
    <n v="832"/>
    <x v="0"/>
    <n v="34128"/>
  </r>
  <r>
    <n v="17"/>
    <n v="2006"/>
    <x v="1"/>
    <x v="866"/>
    <x v="607"/>
    <s v="en-US"/>
    <x v="2"/>
    <n v="3.9"/>
    <x v="862"/>
    <x v="0"/>
    <n v="15968"/>
    <n v="0"/>
    <n v="4.99"/>
    <n v="17"/>
    <x v="0"/>
    <n v="3200"/>
  </r>
  <r>
    <n v="10"/>
    <n v="2004"/>
    <x v="1"/>
    <x v="867"/>
    <x v="608"/>
    <s v="en-US"/>
    <x v="2"/>
    <n v="4.13"/>
    <x v="863"/>
    <x v="0"/>
    <n v="17964"/>
    <n v="0"/>
    <n v="4.99"/>
    <n v="11"/>
    <x v="0"/>
    <n v="3600"/>
  </r>
  <r>
    <n v="84"/>
    <n v="2002"/>
    <x v="1"/>
    <x v="868"/>
    <x v="608"/>
    <s v="eng"/>
    <x v="2"/>
    <n v="4.03"/>
    <x v="864"/>
    <x v="0"/>
    <n v="2417.85"/>
    <n v="1450.71"/>
    <n v="1.99"/>
    <n v="86"/>
    <x v="8"/>
    <n v="1215"/>
  </r>
  <r>
    <n v="136"/>
    <n v="2009"/>
    <x v="1"/>
    <x v="869"/>
    <x v="608"/>
    <s v="eng"/>
    <x v="2"/>
    <n v="4.08"/>
    <x v="865"/>
    <x v="0"/>
    <n v="9412.15"/>
    <n v="5647.29"/>
    <n v="11.99"/>
    <n v="143"/>
    <x v="2"/>
    <n v="785"/>
  </r>
  <r>
    <n v="300"/>
    <n v="2008"/>
    <x v="1"/>
    <x v="870"/>
    <x v="608"/>
    <s v="eng"/>
    <x v="0"/>
    <n v="4.01"/>
    <x v="866"/>
    <x v="1"/>
    <n v="885.04"/>
    <n v="531.024"/>
    <n v="2.99"/>
    <n v="322"/>
    <x v="0"/>
    <n v="296"/>
  </r>
  <r>
    <n v="684"/>
    <n v="1998"/>
    <x v="0"/>
    <x v="871"/>
    <x v="608"/>
    <s v="eng"/>
    <x v="2"/>
    <n v="3.94"/>
    <x v="867"/>
    <x v="1"/>
    <n v="355.81"/>
    <n v="213.48599999999999"/>
    <n v="2.99"/>
    <n v="786"/>
    <x v="1"/>
    <n v="36936"/>
  </r>
  <r>
    <n v="640"/>
    <n v="2003"/>
    <x v="1"/>
    <x v="872"/>
    <x v="609"/>
    <s v="en-US"/>
    <x v="2"/>
    <n v="3.79"/>
    <x v="868"/>
    <x v="0"/>
    <n v="370.76"/>
    <n v="0"/>
    <n v="2.99"/>
    <n v="730"/>
    <x v="0"/>
    <n v="45576"/>
  </r>
  <r>
    <n v="221"/>
    <n v="2013"/>
    <x v="1"/>
    <x v="873"/>
    <x v="610"/>
    <s v="en-CA"/>
    <x v="3"/>
    <n v="4.49"/>
    <x v="869"/>
    <x v="0"/>
    <n v="426.69"/>
    <n v="256.01400000000001"/>
    <n v="0.99"/>
    <n v="241"/>
    <x v="0"/>
    <n v="431"/>
  </r>
  <r>
    <n v="311"/>
    <n v="2015"/>
    <x v="1"/>
    <x v="874"/>
    <x v="610"/>
    <s v="eng"/>
    <x v="0"/>
    <n v="4.29"/>
    <x v="870"/>
    <x v="1"/>
    <n v="3650.19"/>
    <n v="2190.114"/>
    <n v="12.99"/>
    <n v="331"/>
    <x v="0"/>
    <n v="281"/>
  </r>
  <r>
    <n v="491"/>
    <n v="2014"/>
    <x v="1"/>
    <x v="875"/>
    <x v="610"/>
    <s v="eng"/>
    <x v="3"/>
    <n v="4.53"/>
    <x v="871"/>
    <x v="0"/>
    <n v="163.35"/>
    <n v="98.01"/>
    <n v="0.99"/>
    <n v="543"/>
    <x v="7"/>
    <n v="4455"/>
  </r>
  <r>
    <n v="733"/>
    <n v="2015"/>
    <x v="1"/>
    <x v="876"/>
    <x v="610"/>
    <s v="eng"/>
    <x v="3"/>
    <n v="4.5999999999999996"/>
    <x v="872"/>
    <x v="0"/>
    <n v="349.83"/>
    <n v="209.898"/>
    <n v="2.99"/>
    <n v="841"/>
    <x v="3"/>
    <n v="33048"/>
  </r>
  <r>
    <n v="777"/>
    <n v="2016"/>
    <x v="1"/>
    <x v="877"/>
    <x v="610"/>
    <s v="eng"/>
    <x v="3"/>
    <n v="4.72"/>
    <x v="873"/>
    <x v="0"/>
    <n v="1158.8399999999999"/>
    <n v="695.30399999999997"/>
    <n v="9.99"/>
    <n v="900"/>
    <x v="1"/>
    <n v="28512"/>
  </r>
  <r>
    <n v="215"/>
    <n v="2006"/>
    <x v="1"/>
    <x v="878"/>
    <x v="611"/>
    <s v="eng"/>
    <x v="2"/>
    <n v="4.3"/>
    <x v="874"/>
    <x v="0"/>
    <n v="1324.57"/>
    <n v="794.74199999999996"/>
    <n v="2.99"/>
    <n v="234"/>
    <x v="1"/>
    <n v="443"/>
  </r>
  <r>
    <n v="723"/>
    <n v="2007"/>
    <x v="1"/>
    <x v="879"/>
    <x v="611"/>
    <s v="eng"/>
    <x v="0"/>
    <n v="4.2300000000000004"/>
    <x v="875"/>
    <x v="0"/>
    <n v="349.83"/>
    <n v="209.898"/>
    <n v="2.99"/>
    <n v="831"/>
    <x v="0"/>
    <n v="34128"/>
  </r>
  <r>
    <n v="615"/>
    <n v="1993"/>
    <x v="0"/>
    <x v="880"/>
    <x v="612"/>
    <s v="en-US"/>
    <x v="2"/>
    <n v="3.98"/>
    <x v="876"/>
    <x v="1"/>
    <n v="129.69"/>
    <n v="77.813999999999993"/>
    <n v="0.99"/>
    <n v="699"/>
    <x v="0"/>
    <n v="49680"/>
  </r>
  <r>
    <n v="435"/>
    <n v="1986"/>
    <x v="0"/>
    <x v="881"/>
    <x v="613"/>
    <m/>
    <x v="0"/>
    <n v="4.0999999999999996"/>
    <x v="877"/>
    <x v="0"/>
    <n v="553.15"/>
    <n v="331.89"/>
    <n v="2.99"/>
    <n v="479"/>
    <x v="0"/>
    <n v="4995"/>
  </r>
  <r>
    <n v="250"/>
    <n v="2006"/>
    <x v="1"/>
    <x v="882"/>
    <x v="614"/>
    <s v="eng"/>
    <x v="2"/>
    <n v="3.77"/>
    <x v="878"/>
    <x v="0"/>
    <n v="1124.24"/>
    <n v="674.54399999999998"/>
    <n v="2.99"/>
    <n v="274"/>
    <x v="0"/>
    <n v="376"/>
  </r>
  <r>
    <n v="867"/>
    <n v="2006"/>
    <x v="1"/>
    <x v="883"/>
    <x v="614"/>
    <s v="en-US"/>
    <x v="2"/>
    <n v="3.59"/>
    <x v="879"/>
    <x v="0"/>
    <n v="110.88"/>
    <n v="66.528000000000006"/>
    <n v="0.99"/>
    <n v="1013"/>
    <x v="0"/>
    <n v="2862"/>
  </r>
  <r>
    <n v="517"/>
    <n v="1997"/>
    <x v="0"/>
    <x v="884"/>
    <x v="615"/>
    <s v="en-US"/>
    <x v="0"/>
    <n v="4.07"/>
    <x v="880"/>
    <x v="0"/>
    <n v="634.41"/>
    <n v="380.64600000000002"/>
    <n v="3.99"/>
    <n v="572"/>
    <x v="7"/>
    <n v="4293"/>
  </r>
  <r>
    <n v="271"/>
    <n v="2010"/>
    <x v="1"/>
    <x v="885"/>
    <x v="616"/>
    <s v="en-US"/>
    <x v="2"/>
    <n v="3.7"/>
    <x v="881"/>
    <x v="0"/>
    <n v="344.52"/>
    <n v="0"/>
    <n v="0.99"/>
    <n v="291"/>
    <x v="0"/>
    <n v="348"/>
  </r>
  <r>
    <n v="508"/>
    <n v="2009"/>
    <x v="1"/>
    <x v="886"/>
    <x v="617"/>
    <s v="eng"/>
    <x v="1"/>
    <n v="3.28"/>
    <x v="882"/>
    <x v="0"/>
    <n v="615.02"/>
    <n v="369.012"/>
    <n v="3.82"/>
    <n v="562"/>
    <x v="0"/>
    <n v="4347"/>
  </r>
  <r>
    <n v="644"/>
    <n v="2003"/>
    <x v="1"/>
    <x v="887"/>
    <x v="618"/>
    <s v="en-US"/>
    <x v="0"/>
    <n v="4.18"/>
    <x v="883"/>
    <x v="0"/>
    <n v="120.78"/>
    <n v="72.468000000000004"/>
    <n v="0.99"/>
    <n v="738"/>
    <x v="1"/>
    <n v="44280"/>
  </r>
  <r>
    <n v="921"/>
    <n v="2005"/>
    <x v="1"/>
    <x v="888"/>
    <x v="618"/>
    <s v="eng"/>
    <x v="0"/>
    <n v="4.01"/>
    <x v="884"/>
    <x v="0"/>
    <n v="1414.14"/>
    <n v="848.48400000000004"/>
    <n v="12.74"/>
    <n v="1080"/>
    <x v="1"/>
    <n v="4360"/>
  </r>
  <r>
    <n v="176"/>
    <n v="1994"/>
    <x v="0"/>
    <x v="889"/>
    <x v="619"/>
    <s v="eng"/>
    <x v="2"/>
    <n v="3.95"/>
    <x v="885"/>
    <x v="1"/>
    <n v="544.5"/>
    <n v="326.7"/>
    <n v="0.99"/>
    <n v="190"/>
    <x v="0"/>
    <n v="550"/>
  </r>
  <r>
    <n v="1027"/>
    <n v="2010"/>
    <x v="1"/>
    <x v="890"/>
    <x v="620"/>
    <s v="en-US"/>
    <x v="0"/>
    <n v="4.37"/>
    <x v="886"/>
    <x v="1"/>
    <n v="319.93"/>
    <n v="0"/>
    <n v="2.99"/>
    <n v="1215"/>
    <x v="0"/>
    <n v="107"/>
  </r>
  <r>
    <n v="255"/>
    <n v="1996"/>
    <x v="0"/>
    <x v="891"/>
    <x v="621"/>
    <s v="en-US"/>
    <x v="2"/>
    <n v="4.33"/>
    <x v="887"/>
    <x v="0"/>
    <n v="366.3"/>
    <n v="0"/>
    <n v="0.99"/>
    <n v="278"/>
    <x v="0"/>
    <n v="370"/>
  </r>
  <r>
    <n v="60"/>
    <n v="2007"/>
    <x v="1"/>
    <x v="892"/>
    <x v="622"/>
    <s v="eng"/>
    <x v="2"/>
    <n v="4.1100000000000003"/>
    <x v="888"/>
    <x v="0"/>
    <n v="10384"/>
    <n v="6230.4"/>
    <n v="6.49"/>
    <n v="61"/>
    <x v="6"/>
    <n v="1600"/>
  </r>
  <r>
    <n v="99"/>
    <n v="2013"/>
    <x v="1"/>
    <x v="893"/>
    <x v="623"/>
    <s v="eng"/>
    <x v="2"/>
    <n v="3.94"/>
    <x v="889"/>
    <x v="0"/>
    <n v="985.05"/>
    <n v="0"/>
    <n v="0.99"/>
    <n v="101"/>
    <x v="0"/>
    <n v="995"/>
  </r>
  <r>
    <n v="847"/>
    <n v="1998"/>
    <x v="0"/>
    <x v="894"/>
    <x v="624"/>
    <s v="eng"/>
    <x v="2"/>
    <n v="3.84"/>
    <x v="890"/>
    <x v="0"/>
    <n v="450.87"/>
    <n v="270.52199999999999"/>
    <n v="3.99"/>
    <n v="993"/>
    <x v="1"/>
    <n v="2862"/>
  </r>
  <r>
    <n v="981"/>
    <n v="1853"/>
    <x v="2"/>
    <x v="895"/>
    <x v="625"/>
    <s v="eng"/>
    <x v="0"/>
    <n v="4.1500000000000004"/>
    <x v="891"/>
    <x v="0"/>
    <n v="543.91"/>
    <n v="326.346"/>
    <n v="4.99"/>
    <n v="1156"/>
    <x v="6"/>
    <n v="4240"/>
  </r>
  <r>
    <n v="103"/>
    <n v="2011"/>
    <x v="1"/>
    <x v="896"/>
    <x v="626"/>
    <s v="eng"/>
    <x v="2"/>
    <n v="3.93"/>
    <x v="892"/>
    <x v="0"/>
    <n v="960.3"/>
    <n v="0"/>
    <n v="0.99"/>
    <n v="106"/>
    <x v="0"/>
    <n v="970"/>
  </r>
  <r>
    <n v="230"/>
    <n v="2009"/>
    <x v="1"/>
    <x v="897"/>
    <x v="626"/>
    <s v="eng"/>
    <x v="2"/>
    <n v="3.82"/>
    <x v="893"/>
    <x v="0"/>
    <n v="2070.85"/>
    <n v="1242.51"/>
    <n v="4.99"/>
    <n v="251"/>
    <x v="6"/>
    <n v="415"/>
  </r>
  <r>
    <n v="421"/>
    <n v="2007"/>
    <x v="1"/>
    <x v="898"/>
    <x v="626"/>
    <s v="eng"/>
    <x v="2"/>
    <n v="3.77"/>
    <x v="894"/>
    <x v="0"/>
    <n v="191.07"/>
    <n v="0"/>
    <n v="0.99"/>
    <n v="463"/>
    <x v="0"/>
    <n v="5211"/>
  </r>
  <r>
    <n v="424"/>
    <n v="2001"/>
    <x v="1"/>
    <x v="899"/>
    <x v="626"/>
    <s v="en-US"/>
    <x v="2"/>
    <n v="3.75"/>
    <x v="895"/>
    <x v="0"/>
    <n v="1468.79"/>
    <n v="881.274"/>
    <n v="7.69"/>
    <n v="468"/>
    <x v="2"/>
    <n v="5157"/>
  </r>
  <r>
    <n v="532"/>
    <n v="2002"/>
    <x v="1"/>
    <x v="900"/>
    <x v="626"/>
    <s v="eng"/>
    <x v="2"/>
    <n v="3.77"/>
    <x v="896"/>
    <x v="0"/>
    <n v="460.46"/>
    <n v="0"/>
    <n v="2.99"/>
    <n v="594"/>
    <x v="0"/>
    <n v="4158"/>
  </r>
  <r>
    <n v="905"/>
    <n v="2004"/>
    <x v="1"/>
    <x v="901"/>
    <x v="626"/>
    <s v="eng"/>
    <x v="2"/>
    <n v="3.64"/>
    <x v="897"/>
    <x v="0"/>
    <n v="331.89"/>
    <n v="0"/>
    <n v="2.99"/>
    <n v="1059"/>
    <x v="0"/>
    <n v="4400"/>
  </r>
  <r>
    <n v="293"/>
    <n v="-430"/>
    <x v="2"/>
    <x v="902"/>
    <x v="627"/>
    <s v="eng"/>
    <x v="2"/>
    <n v="3.67"/>
    <x v="898"/>
    <x v="0"/>
    <n v="2460.92"/>
    <n v="1476.5519999999999"/>
    <n v="7.99"/>
    <n v="315"/>
    <x v="7"/>
    <n v="308"/>
  </r>
  <r>
    <n v="990"/>
    <n v="-441"/>
    <x v="2"/>
    <x v="903"/>
    <x v="627"/>
    <s v="eng"/>
    <x v="2"/>
    <n v="3.6"/>
    <x v="899"/>
    <x v="0"/>
    <n v="106.92"/>
    <n v="64.152000000000001"/>
    <n v="0.99"/>
    <n v="1167"/>
    <x v="0"/>
    <n v="108"/>
  </r>
  <r>
    <n v="437"/>
    <n v="2006"/>
    <x v="1"/>
    <x v="904"/>
    <x v="628"/>
    <s v="eng"/>
    <x v="2"/>
    <n v="3.62"/>
    <x v="900"/>
    <x v="0"/>
    <n v="181.17"/>
    <n v="0"/>
    <n v="0.99"/>
    <n v="483"/>
    <x v="0"/>
    <n v="4941"/>
  </r>
  <r>
    <n v="473"/>
    <n v="2011"/>
    <x v="1"/>
    <x v="905"/>
    <x v="629"/>
    <s v="en-US"/>
    <x v="2"/>
    <n v="4"/>
    <x v="901"/>
    <x v="0"/>
    <n v="674.31"/>
    <n v="404.58600000000001"/>
    <n v="3.99"/>
    <n v="524"/>
    <x v="0"/>
    <n v="4563"/>
  </r>
  <r>
    <n v="625"/>
    <n v="2007"/>
    <x v="1"/>
    <x v="906"/>
    <x v="630"/>
    <s v="en-US"/>
    <x v="2"/>
    <n v="3.91"/>
    <x v="902"/>
    <x v="0"/>
    <n v="885.76"/>
    <n v="531.45600000000002"/>
    <n v="6.92"/>
    <n v="710"/>
    <x v="2"/>
    <n v="47520"/>
  </r>
  <r>
    <n v="995"/>
    <n v="1871"/>
    <x v="2"/>
    <x v="907"/>
    <x v="631"/>
    <s v="eng"/>
    <x v="1"/>
    <n v="3.21"/>
    <x v="903"/>
    <x v="0"/>
    <n v="1186.92"/>
    <n v="712.15200000000004"/>
    <n v="10.99"/>
    <n v="1173"/>
    <x v="2"/>
    <n v="108"/>
  </r>
  <r>
    <n v="782"/>
    <n v="1992"/>
    <x v="0"/>
    <x v="908"/>
    <x v="632"/>
    <s v="eng"/>
    <x v="3"/>
    <n v="4.42"/>
    <x v="904"/>
    <x v="0"/>
    <n v="343.85"/>
    <n v="0"/>
    <n v="2.99"/>
    <n v="907"/>
    <x v="0"/>
    <n v="2943"/>
  </r>
  <r>
    <n v="22"/>
    <n v="1991"/>
    <x v="0"/>
    <x v="909"/>
    <x v="633"/>
    <m/>
    <x v="2"/>
    <n v="3.87"/>
    <x v="905"/>
    <x v="0"/>
    <n v="2772"/>
    <n v="0"/>
    <n v="0.99"/>
    <n v="23"/>
    <x v="0"/>
    <n v="2800"/>
  </r>
  <r>
    <n v="25"/>
    <n v="1981"/>
    <x v="0"/>
    <x v="910"/>
    <x v="633"/>
    <s v="spa"/>
    <x v="2"/>
    <n v="3.65"/>
    <x v="906"/>
    <x v="0"/>
    <n v="7774"/>
    <n v="0"/>
    <n v="2.99"/>
    <n v="26"/>
    <x v="0"/>
    <n v="2600"/>
  </r>
  <r>
    <n v="78"/>
    <n v="2006"/>
    <x v="1"/>
    <x v="911"/>
    <x v="633"/>
    <s v="en-US"/>
    <x v="2"/>
    <n v="3.64"/>
    <x v="907"/>
    <x v="0"/>
    <n v="5933.78"/>
    <n v="3560.268"/>
    <n v="4.54"/>
    <n v="80"/>
    <x v="8"/>
    <n v="1307"/>
  </r>
  <r>
    <n v="81"/>
    <n v="1987"/>
    <x v="0"/>
    <x v="912"/>
    <x v="633"/>
    <s v="eng"/>
    <x v="2"/>
    <n v="4.2300000000000004"/>
    <x v="908"/>
    <x v="1"/>
    <n v="2539.2399999999998"/>
    <n v="1523.5440000000001"/>
    <n v="1.99"/>
    <n v="82"/>
    <x v="8"/>
    <n v="1276"/>
  </r>
  <r>
    <n v="92"/>
    <n v="2014"/>
    <x v="1"/>
    <x v="913"/>
    <x v="633"/>
    <s v="eng"/>
    <x v="2"/>
    <n v="3.92"/>
    <x v="909"/>
    <x v="0"/>
    <n v="2202.9299999999998"/>
    <n v="1321.758"/>
    <n v="1.99"/>
    <n v="93"/>
    <x v="3"/>
    <n v="1107"/>
  </r>
  <r>
    <n v="139"/>
    <n v="1979"/>
    <x v="0"/>
    <x v="914"/>
    <x v="633"/>
    <s v="en-US"/>
    <x v="2"/>
    <n v="3.9"/>
    <x v="910"/>
    <x v="0"/>
    <n v="1512.4"/>
    <n v="907.44"/>
    <n v="1.99"/>
    <n v="148"/>
    <x v="8"/>
    <n v="760"/>
  </r>
  <r>
    <n v="144"/>
    <n v="1980"/>
    <x v="0"/>
    <x v="915"/>
    <x v="633"/>
    <s v="eng"/>
    <x v="2"/>
    <n v="3.85"/>
    <x v="911"/>
    <x v="0"/>
    <n v="2952.6"/>
    <n v="1771.56"/>
    <n v="3.99"/>
    <n v="152"/>
    <x v="3"/>
    <n v="740"/>
  </r>
  <r>
    <n v="160"/>
    <n v="1999"/>
    <x v="0"/>
    <x v="916"/>
    <x v="633"/>
    <s v="eng"/>
    <x v="2"/>
    <n v="4.3099999999999996"/>
    <x v="912"/>
    <x v="0"/>
    <n v="1943.5"/>
    <n v="0"/>
    <n v="2.99"/>
    <n v="170"/>
    <x v="0"/>
    <n v="650"/>
  </r>
  <r>
    <n v="172"/>
    <n v="1998"/>
    <x v="0"/>
    <x v="917"/>
    <x v="633"/>
    <s v="en-US"/>
    <x v="2"/>
    <n v="3.87"/>
    <x v="913"/>
    <x v="0"/>
    <n v="569.25"/>
    <n v="0"/>
    <n v="0.99"/>
    <n v="185"/>
    <x v="0"/>
    <n v="575"/>
  </r>
  <r>
    <n v="208"/>
    <n v="1982"/>
    <x v="0"/>
    <x v="918"/>
    <x v="633"/>
    <s v="eng"/>
    <x v="2"/>
    <n v="4.34"/>
    <x v="914"/>
    <x v="0"/>
    <n v="5000.45"/>
    <n v="3000.27"/>
    <n v="10.99"/>
    <n v="227"/>
    <x v="1"/>
    <n v="455"/>
  </r>
  <r>
    <n v="263"/>
    <n v="2013"/>
    <x v="1"/>
    <x v="919"/>
    <x v="633"/>
    <s v="eng"/>
    <x v="2"/>
    <n v="4.0999999999999996"/>
    <x v="915"/>
    <x v="0"/>
    <n v="357.39"/>
    <n v="214.434"/>
    <n v="0.99"/>
    <n v="283"/>
    <x v="0"/>
    <n v="361"/>
  </r>
  <r>
    <n v="380"/>
    <n v="1992"/>
    <x v="0"/>
    <x v="920"/>
    <x v="633"/>
    <s v="eng"/>
    <x v="3"/>
    <n v="3.47"/>
    <x v="916"/>
    <x v="2"/>
    <n v="433.82"/>
    <n v="260.29199999999997"/>
    <n v="1.99"/>
    <n v="413"/>
    <x v="0"/>
    <n v="5886"/>
  </r>
  <r>
    <n v="413"/>
    <n v="1996"/>
    <x v="0"/>
    <x v="921"/>
    <x v="633"/>
    <s v="eng"/>
    <x v="2"/>
    <n v="3.8"/>
    <x v="917"/>
    <x v="0"/>
    <n v="196.02"/>
    <n v="117.61199999999999"/>
    <n v="0.99"/>
    <n v="453"/>
    <x v="0"/>
    <n v="5346"/>
  </r>
  <r>
    <n v="422"/>
    <n v="2004"/>
    <x v="1"/>
    <x v="922"/>
    <x v="633"/>
    <s v="en-US"/>
    <x v="0"/>
    <n v="4.2699999999999996"/>
    <x v="918"/>
    <x v="0"/>
    <n v="770.07"/>
    <n v="0"/>
    <n v="3.99"/>
    <n v="463"/>
    <x v="0"/>
    <n v="5211"/>
  </r>
  <r>
    <n v="436"/>
    <n v="1989"/>
    <x v="0"/>
    <x v="923"/>
    <x v="633"/>
    <s v="eng"/>
    <x v="2"/>
    <n v="3.74"/>
    <x v="919"/>
    <x v="0"/>
    <n v="550.16"/>
    <n v="330.096"/>
    <n v="2.99"/>
    <n v="482"/>
    <x v="3"/>
    <n v="4968"/>
  </r>
  <r>
    <n v="455"/>
    <n v="1999"/>
    <x v="0"/>
    <x v="924"/>
    <x v="633"/>
    <m/>
    <x v="2"/>
    <n v="3.56"/>
    <x v="920"/>
    <x v="1"/>
    <n v="1346.76"/>
    <n v="808.05600000000004"/>
    <n v="7.74"/>
    <n v="503"/>
    <x v="0"/>
    <n v="4698"/>
  </r>
  <r>
    <n v="592"/>
    <n v="1985"/>
    <x v="0"/>
    <x v="925"/>
    <x v="633"/>
    <s v="eng"/>
    <x v="2"/>
    <n v="3.93"/>
    <x v="921"/>
    <x v="0"/>
    <n v="957.72"/>
    <n v="574.63199999999995"/>
    <n v="6.94"/>
    <n v="668"/>
    <x v="6"/>
    <n v="53568"/>
  </r>
  <r>
    <n v="608"/>
    <n v="1987"/>
    <x v="0"/>
    <x v="926"/>
    <x v="633"/>
    <s v="eng"/>
    <x v="3"/>
    <n v="3.48"/>
    <x v="922"/>
    <x v="0"/>
    <n v="790.68"/>
    <n v="0"/>
    <n v="5.99"/>
    <n v="693"/>
    <x v="0"/>
    <n v="50760"/>
  </r>
  <r>
    <n v="651"/>
    <n v="2013"/>
    <x v="1"/>
    <x v="927"/>
    <x v="633"/>
    <s v="eng"/>
    <x v="2"/>
    <n v="3.9"/>
    <x v="923"/>
    <x v="0"/>
    <n v="118.8"/>
    <n v="0"/>
    <n v="0.99"/>
    <n v="746"/>
    <x v="0"/>
    <n v="42768"/>
  </r>
  <r>
    <n v="677"/>
    <n v="1990"/>
    <x v="0"/>
    <x v="928"/>
    <x v="633"/>
    <s v="en-GB"/>
    <x v="2"/>
    <n v="3.9"/>
    <x v="924"/>
    <x v="1"/>
    <n v="640.22"/>
    <n v="384.13200000000001"/>
    <n v="5.38"/>
    <n v="779"/>
    <x v="8"/>
    <n v="37368"/>
  </r>
  <r>
    <n v="730"/>
    <n v="1987"/>
    <x v="0"/>
    <x v="929"/>
    <x v="633"/>
    <s v="eng"/>
    <x v="2"/>
    <n v="3.92"/>
    <x v="925"/>
    <x v="1"/>
    <n v="700.83"/>
    <n v="420.49799999999999"/>
    <n v="5.99"/>
    <n v="837"/>
    <x v="8"/>
    <n v="33264"/>
  </r>
  <r>
    <n v="808"/>
    <n v="1980"/>
    <x v="0"/>
    <x v="930"/>
    <x v="633"/>
    <s v="en-US"/>
    <x v="2"/>
    <n v="3.92"/>
    <x v="926"/>
    <x v="1"/>
    <n v="340.86"/>
    <n v="204.51599999999999"/>
    <n v="2.99"/>
    <n v="943"/>
    <x v="0"/>
    <n v="2916"/>
  </r>
  <r>
    <n v="816"/>
    <n v="2014"/>
    <x v="1"/>
    <x v="931"/>
    <x v="633"/>
    <s v="en-US"/>
    <x v="2"/>
    <n v="3.75"/>
    <x v="927"/>
    <x v="0"/>
    <n v="568.86"/>
    <n v="0"/>
    <n v="4.99"/>
    <n v="953"/>
    <x v="0"/>
    <n v="2916"/>
  </r>
  <r>
    <n v="829"/>
    <n v="2008"/>
    <x v="1"/>
    <x v="932"/>
    <x v="633"/>
    <s v="en-US"/>
    <x v="2"/>
    <n v="3.93"/>
    <x v="928"/>
    <x v="0"/>
    <n v="844.74"/>
    <n v="506.84399999999999"/>
    <n v="7.41"/>
    <n v="969"/>
    <x v="3"/>
    <n v="2889"/>
  </r>
  <r>
    <n v="892"/>
    <n v="1995"/>
    <x v="0"/>
    <x v="933"/>
    <x v="633"/>
    <s v="eng"/>
    <x v="2"/>
    <n v="3.66"/>
    <x v="929"/>
    <x v="0"/>
    <n v="222.88"/>
    <n v="133.72800000000001"/>
    <n v="1.99"/>
    <n v="1049"/>
    <x v="1"/>
    <n v="4400"/>
  </r>
  <r>
    <n v="959"/>
    <n v="2015"/>
    <x v="1"/>
    <x v="934"/>
    <x v="633"/>
    <s v="eng"/>
    <x v="0"/>
    <n v="4.03"/>
    <x v="930"/>
    <x v="2"/>
    <n v="107.91"/>
    <n v="0"/>
    <n v="0.99"/>
    <n v="1131"/>
    <x v="0"/>
    <n v="4280"/>
  </r>
  <r>
    <n v="967"/>
    <n v="1999"/>
    <x v="0"/>
    <x v="935"/>
    <x v="633"/>
    <s v="eng"/>
    <x v="2"/>
    <n v="3.8"/>
    <x v="931"/>
    <x v="0"/>
    <n v="216.91"/>
    <n v="130.14599999999999"/>
    <n v="1.99"/>
    <n v="1142"/>
    <x v="3"/>
    <n v="4240"/>
  </r>
  <r>
    <n v="1045"/>
    <n v="2010"/>
    <x v="1"/>
    <x v="936"/>
    <x v="633"/>
    <s v="en-US"/>
    <x v="0"/>
    <n v="4.03"/>
    <x v="932"/>
    <x v="0"/>
    <n v="640.92999999999995"/>
    <n v="384.55799999999999"/>
    <n v="5.99"/>
    <n v="1236"/>
    <x v="6"/>
    <n v="107"/>
  </r>
  <r>
    <n v="1058"/>
    <n v="2002"/>
    <x v="1"/>
    <x v="937"/>
    <x v="633"/>
    <s v="eng"/>
    <x v="2"/>
    <n v="3.94"/>
    <x v="933"/>
    <x v="2"/>
    <n v="316.94"/>
    <n v="190.16399999999999"/>
    <n v="2.99"/>
    <n v="1255"/>
    <x v="0"/>
    <n v="106"/>
  </r>
  <r>
    <n v="405"/>
    <n v="2003"/>
    <x v="1"/>
    <x v="938"/>
    <x v="634"/>
    <s v="eng"/>
    <x v="0"/>
    <n v="4.17"/>
    <x v="934"/>
    <x v="0"/>
    <n v="603.98"/>
    <n v="0"/>
    <n v="2.99"/>
    <n v="445"/>
    <x v="0"/>
    <n v="5454"/>
  </r>
  <r>
    <n v="384"/>
    <n v="1994"/>
    <x v="0"/>
    <x v="939"/>
    <x v="635"/>
    <s v="spa"/>
    <x v="2"/>
    <n v="3.79"/>
    <x v="935"/>
    <x v="0"/>
    <n v="2311.0500000000002"/>
    <n v="1386.63"/>
    <n v="10.65"/>
    <n v="416"/>
    <x v="6"/>
    <n v="5859"/>
  </r>
  <r>
    <n v="522"/>
    <n v="2004"/>
    <x v="1"/>
    <x v="940"/>
    <x v="636"/>
    <s v="eng"/>
    <x v="2"/>
    <n v="3.98"/>
    <x v="936"/>
    <x v="0"/>
    <n v="469.43"/>
    <n v="0"/>
    <n v="2.99"/>
    <n v="578"/>
    <x v="0"/>
    <n v="4239"/>
  </r>
  <r>
    <n v="275"/>
    <n v="1997"/>
    <x v="0"/>
    <x v="941"/>
    <x v="637"/>
    <s v="eng"/>
    <x v="2"/>
    <n v="4.24"/>
    <x v="937"/>
    <x v="2"/>
    <n v="1019.59"/>
    <n v="611.75400000000002"/>
    <n v="2.99"/>
    <n v="295"/>
    <x v="1"/>
    <n v="341"/>
  </r>
  <r>
    <n v="544"/>
    <n v="1992"/>
    <x v="0"/>
    <x v="942"/>
    <x v="638"/>
    <s v="fre"/>
    <x v="2"/>
    <n v="3.81"/>
    <x v="938"/>
    <x v="0"/>
    <n v="661.38"/>
    <n v="396.82799999999997"/>
    <n v="4.38"/>
    <n v="608"/>
    <x v="0"/>
    <n v="4077"/>
  </r>
  <r>
    <n v="761"/>
    <n v="2005"/>
    <x v="1"/>
    <x v="943"/>
    <x v="639"/>
    <s v="eng"/>
    <x v="0"/>
    <n v="4.25"/>
    <x v="939"/>
    <x v="0"/>
    <n v="770.24"/>
    <n v="462.14400000000001"/>
    <n v="6.64"/>
    <n v="879"/>
    <x v="7"/>
    <n v="30672"/>
  </r>
  <r>
    <n v="334"/>
    <n v="1978"/>
    <x v="0"/>
    <x v="944"/>
    <x v="640"/>
    <s v="en-GB"/>
    <x v="2"/>
    <n v="3.96"/>
    <x v="940"/>
    <x v="0"/>
    <n v="244.53"/>
    <n v="146.71799999999999"/>
    <n v="0.99"/>
    <n v="356"/>
    <x v="0"/>
    <n v="247"/>
  </r>
  <r>
    <n v="47"/>
    <n v="1983"/>
    <x v="0"/>
    <x v="945"/>
    <x v="641"/>
    <s v="fre"/>
    <x v="2"/>
    <n v="3.72"/>
    <x v="941"/>
    <x v="1"/>
    <n v="1766.16"/>
    <n v="1059.6959999999999"/>
    <n v="0.99"/>
    <n v="49"/>
    <x v="0"/>
    <n v="1784"/>
  </r>
  <r>
    <n v="194"/>
    <n v="1991"/>
    <x v="0"/>
    <x v="946"/>
    <x v="642"/>
    <s v="eng"/>
    <x v="2"/>
    <n v="4.24"/>
    <x v="942"/>
    <x v="0"/>
    <n v="1429.22"/>
    <n v="0"/>
    <n v="2.99"/>
    <n v="213"/>
    <x v="0"/>
    <n v="478"/>
  </r>
  <r>
    <n v="717"/>
    <n v="1984"/>
    <x v="0"/>
    <x v="947"/>
    <x v="643"/>
    <s v="en-US"/>
    <x v="0"/>
    <n v="4.12"/>
    <x v="943"/>
    <x v="1"/>
    <n v="234.82"/>
    <n v="140.892"/>
    <n v="1.99"/>
    <n v="823"/>
    <x v="0"/>
    <n v="34776"/>
  </r>
  <r>
    <n v="287"/>
    <n v="2001"/>
    <x v="1"/>
    <x v="948"/>
    <x v="644"/>
    <s v="fre"/>
    <x v="2"/>
    <n v="3.59"/>
    <x v="944"/>
    <x v="0"/>
    <n v="1576.84"/>
    <n v="0"/>
    <n v="4.99"/>
    <n v="310"/>
    <x v="0"/>
    <n v="316"/>
  </r>
  <r>
    <n v="201"/>
    <n v="2009"/>
    <x v="1"/>
    <x v="949"/>
    <x v="645"/>
    <s v="eng"/>
    <x v="2"/>
    <n v="3.51"/>
    <x v="945"/>
    <x v="0"/>
    <n v="461.34"/>
    <n v="0"/>
    <n v="0.99"/>
    <n v="220"/>
    <x v="0"/>
    <n v="466"/>
  </r>
  <r>
    <n v="303"/>
    <n v="2008"/>
    <x v="1"/>
    <x v="950"/>
    <x v="645"/>
    <s v="eng"/>
    <x v="0"/>
    <n v="4.03"/>
    <x v="946"/>
    <x v="0"/>
    <n v="290.07"/>
    <n v="0"/>
    <n v="0.99"/>
    <n v="324"/>
    <x v="0"/>
    <n v="293"/>
  </r>
  <r>
    <n v="461"/>
    <n v="2005"/>
    <x v="1"/>
    <x v="951"/>
    <x v="646"/>
    <m/>
    <x v="2"/>
    <n v="3.88"/>
    <x v="947"/>
    <x v="0"/>
    <n v="1632.28"/>
    <n v="979.36800000000005"/>
    <n v="9.49"/>
    <n v="513"/>
    <x v="2"/>
    <n v="4644"/>
  </r>
  <r>
    <n v="963"/>
    <n v="2007"/>
    <x v="1"/>
    <x v="952"/>
    <x v="647"/>
    <s v="eng"/>
    <x v="2"/>
    <n v="3.87"/>
    <x v="948"/>
    <x v="1"/>
    <n v="107.91"/>
    <n v="64.745999999999995"/>
    <n v="0.99"/>
    <n v="1137"/>
    <x v="0"/>
    <n v="4280"/>
  </r>
  <r>
    <n v="538"/>
    <n v="2009"/>
    <x v="1"/>
    <x v="953"/>
    <x v="648"/>
    <s v="en-US"/>
    <x v="2"/>
    <n v="3.95"/>
    <x v="949"/>
    <x v="0"/>
    <n v="1176.57"/>
    <n v="705.94200000000001"/>
    <n v="7.69"/>
    <n v="600"/>
    <x v="2"/>
    <n v="4131"/>
  </r>
  <r>
    <n v="997"/>
    <n v="1999"/>
    <x v="0"/>
    <x v="954"/>
    <x v="649"/>
    <s v="eng"/>
    <x v="2"/>
    <n v="3.85"/>
    <x v="950"/>
    <x v="0"/>
    <n v="430.92"/>
    <n v="0"/>
    <n v="3.99"/>
    <n v="1175"/>
    <x v="0"/>
    <n v="108"/>
  </r>
  <r>
    <n v="292"/>
    <n v="1982"/>
    <x v="0"/>
    <x v="955"/>
    <x v="650"/>
    <s v="en-US"/>
    <x v="2"/>
    <n v="3.82"/>
    <x v="951"/>
    <x v="0"/>
    <n v="616.9"/>
    <n v="370.14"/>
    <n v="1.99"/>
    <n v="314"/>
    <x v="0"/>
    <n v="310"/>
  </r>
  <r>
    <n v="1016"/>
    <n v="2004"/>
    <x v="1"/>
    <x v="956"/>
    <x v="651"/>
    <s v="eng"/>
    <x v="1"/>
    <n v="3.1"/>
    <x v="952"/>
    <x v="0"/>
    <n v="322.92"/>
    <n v="0"/>
    <n v="2.99"/>
    <n v="1199"/>
    <x v="0"/>
    <n v="108"/>
  </r>
  <r>
    <n v="564"/>
    <n v="2006"/>
    <x v="1"/>
    <x v="957"/>
    <x v="652"/>
    <s v="eng"/>
    <x v="2"/>
    <n v="3.89"/>
    <x v="953"/>
    <x v="1"/>
    <n v="1097.92"/>
    <n v="658.75199999999995"/>
    <n v="7.52"/>
    <n v="629"/>
    <x v="0"/>
    <n v="3942"/>
  </r>
  <r>
    <n v="416"/>
    <n v="2011"/>
    <x v="1"/>
    <x v="958"/>
    <x v="653"/>
    <s v="en-US"/>
    <x v="0"/>
    <n v="4.1900000000000004"/>
    <x v="954"/>
    <x v="0"/>
    <n v="194.04"/>
    <n v="0"/>
    <n v="0.99"/>
    <n v="457"/>
    <x v="0"/>
    <n v="5292"/>
  </r>
  <r>
    <n v="151"/>
    <n v="2004"/>
    <x v="1"/>
    <x v="959"/>
    <x v="654"/>
    <s v="eng"/>
    <x v="2"/>
    <n v="3.8"/>
    <x v="955"/>
    <x v="0"/>
    <n v="5593"/>
    <n v="3355.8"/>
    <n v="7.99"/>
    <n v="160"/>
    <x v="7"/>
    <n v="700"/>
  </r>
  <r>
    <n v="73"/>
    <n v="1993"/>
    <x v="0"/>
    <x v="960"/>
    <x v="655"/>
    <s v="eng"/>
    <x v="2"/>
    <n v="3.9"/>
    <x v="956"/>
    <x v="0"/>
    <n v="2724.31"/>
    <n v="1634.586"/>
    <n v="1.99"/>
    <n v="76"/>
    <x v="7"/>
    <n v="1369"/>
  </r>
  <r>
    <n v="343"/>
    <n v="2012"/>
    <x v="1"/>
    <x v="961"/>
    <x v="656"/>
    <s v="eng"/>
    <x v="2"/>
    <n v="4"/>
    <x v="957"/>
    <x v="0"/>
    <n v="2566.65"/>
    <n v="1539.99"/>
    <n v="10.65"/>
    <n v="368"/>
    <x v="7"/>
    <n v="241"/>
  </r>
  <r>
    <n v="1000"/>
    <n v="2003"/>
    <x v="1"/>
    <x v="962"/>
    <x v="657"/>
    <s v="eng"/>
    <x v="2"/>
    <n v="3.99"/>
    <x v="958"/>
    <x v="0"/>
    <n v="322.92"/>
    <n v="0"/>
    <n v="2.99"/>
    <n v="1183"/>
    <x v="0"/>
    <n v="108"/>
  </r>
  <r>
    <n v="373"/>
    <n v="2011"/>
    <x v="1"/>
    <x v="963"/>
    <x v="658"/>
    <s v="eng"/>
    <x v="0"/>
    <n v="4.0199999999999996"/>
    <x v="959"/>
    <x v="0"/>
    <n v="1781.77"/>
    <n v="1069.0619999999999"/>
    <n v="7.99"/>
    <n v="404"/>
    <x v="2"/>
    <n v="6021"/>
  </r>
  <r>
    <n v="603"/>
    <n v="2012"/>
    <x v="1"/>
    <x v="964"/>
    <x v="658"/>
    <s v="eng"/>
    <x v="0"/>
    <n v="4.22"/>
    <x v="960"/>
    <x v="0"/>
    <n v="530.66999999999996"/>
    <n v="0"/>
    <n v="3.99"/>
    <n v="689"/>
    <x v="0"/>
    <n v="51624"/>
  </r>
  <r>
    <n v="145"/>
    <n v="2013"/>
    <x v="1"/>
    <x v="965"/>
    <x v="659"/>
    <s v="eng"/>
    <x v="2"/>
    <n v="4.1900000000000004"/>
    <x v="961"/>
    <x v="0"/>
    <n v="727.65"/>
    <n v="0"/>
    <n v="0.99"/>
    <n v="153"/>
    <x v="0"/>
    <n v="735"/>
  </r>
  <r>
    <n v="347"/>
    <n v="1998"/>
    <x v="0"/>
    <x v="966"/>
    <x v="660"/>
    <s v="en-GB"/>
    <x v="0"/>
    <n v="4.12"/>
    <x v="962"/>
    <x v="0"/>
    <n v="1544.62"/>
    <n v="926.77200000000005"/>
    <n v="6.49"/>
    <n v="373"/>
    <x v="6"/>
    <n v="238"/>
  </r>
  <r>
    <n v="836"/>
    <n v="1958"/>
    <x v="0"/>
    <x v="967"/>
    <x v="661"/>
    <s v="eng"/>
    <x v="0"/>
    <n v="4.08"/>
    <x v="963"/>
    <x v="1"/>
    <n v="746.7"/>
    <n v="448.02"/>
    <n v="6.55"/>
    <n v="973"/>
    <x v="3"/>
    <n v="2889"/>
  </r>
  <r>
    <n v="803"/>
    <n v="2011"/>
    <x v="1"/>
    <x v="968"/>
    <x v="662"/>
    <s v="eng"/>
    <x v="1"/>
    <n v="3.37"/>
    <x v="964"/>
    <x v="0"/>
    <n v="113.85"/>
    <n v="0"/>
    <n v="0.99"/>
    <n v="936"/>
    <x v="0"/>
    <n v="2916"/>
  </r>
  <r>
    <n v="101"/>
    <n v="2011"/>
    <x v="1"/>
    <x v="969"/>
    <x v="663"/>
    <s v="en-US"/>
    <x v="2"/>
    <n v="4.01"/>
    <x v="965"/>
    <x v="2"/>
    <n v="2195.1999999999998"/>
    <n v="1317.12"/>
    <n v="2.2400000000000002"/>
    <n v="104"/>
    <x v="0"/>
    <n v="980"/>
  </r>
  <r>
    <n v="639"/>
    <n v="2013"/>
    <x v="1"/>
    <x v="970"/>
    <x v="663"/>
    <s v="eng"/>
    <x v="0"/>
    <n v="4.28"/>
    <x v="966"/>
    <x v="0"/>
    <n v="122.76"/>
    <n v="73.656000000000006"/>
    <n v="0.99"/>
    <n v="728"/>
    <x v="0"/>
    <n v="45792"/>
  </r>
  <r>
    <n v="58"/>
    <n v="2012"/>
    <x v="1"/>
    <x v="971"/>
    <x v="664"/>
    <s v="en-CA"/>
    <x v="2"/>
    <n v="4.1100000000000003"/>
    <x v="967"/>
    <x v="0"/>
    <n v="1613.7"/>
    <n v="0"/>
    <n v="0.99"/>
    <n v="59"/>
    <x v="0"/>
    <n v="1630"/>
  </r>
  <r>
    <n v="949"/>
    <n v="1983"/>
    <x v="0"/>
    <x v="972"/>
    <x v="665"/>
    <s v="en-US"/>
    <x v="0"/>
    <n v="4.2699999999999996"/>
    <x v="968"/>
    <x v="0"/>
    <n v="1867.8"/>
    <n v="1120.68"/>
    <n v="16.98"/>
    <n v="1119"/>
    <x v="2"/>
    <n v="4280"/>
  </r>
  <r>
    <n v="794"/>
    <n v="2008"/>
    <x v="1"/>
    <x v="973"/>
    <x v="666"/>
    <s v="eng"/>
    <x v="0"/>
    <n v="4.05"/>
    <x v="969"/>
    <x v="0"/>
    <n v="803.85"/>
    <n v="482.31"/>
    <n v="6.99"/>
    <n v="920"/>
    <x v="2"/>
    <n v="2916"/>
  </r>
  <r>
    <n v="452"/>
    <n v="2015"/>
    <x v="1"/>
    <x v="974"/>
    <x v="667"/>
    <s v="eng"/>
    <x v="3"/>
    <n v="4.4000000000000004"/>
    <x v="970"/>
    <x v="0"/>
    <n v="523.25"/>
    <n v="0"/>
    <n v="2.99"/>
    <n v="499"/>
    <x v="0"/>
    <n v="4725"/>
  </r>
  <r>
    <n v="655"/>
    <n v="1945"/>
    <x v="0"/>
    <x v="975"/>
    <x v="668"/>
    <s v="eng"/>
    <x v="2"/>
    <n v="3.67"/>
    <x v="971"/>
    <x v="1"/>
    <n v="117.81"/>
    <n v="70.686000000000007"/>
    <n v="0.99"/>
    <n v="752"/>
    <x v="0"/>
    <n v="41904"/>
  </r>
  <r>
    <n v="540"/>
    <n v="1995"/>
    <x v="0"/>
    <x v="976"/>
    <x v="669"/>
    <s v="en-US"/>
    <x v="0"/>
    <n v="4.0999999999999996"/>
    <x v="972"/>
    <x v="0"/>
    <n v="1111.1199999999999"/>
    <n v="666.67200000000003"/>
    <n v="7.31"/>
    <n v="603"/>
    <x v="2"/>
    <n v="4104"/>
  </r>
  <r>
    <n v="1005"/>
    <n v="1996"/>
    <x v="0"/>
    <x v="977"/>
    <x v="669"/>
    <s v="en-US"/>
    <x v="2"/>
    <n v="3.98"/>
    <x v="973"/>
    <x v="0"/>
    <n v="106.92"/>
    <n v="64.152000000000001"/>
    <n v="0.99"/>
    <n v="1192"/>
    <x v="0"/>
    <n v="108"/>
  </r>
  <r>
    <n v="797"/>
    <n v="2013"/>
    <x v="1"/>
    <x v="978"/>
    <x v="670"/>
    <s v="eng"/>
    <x v="0"/>
    <n v="4.2300000000000004"/>
    <x v="974"/>
    <x v="0"/>
    <n v="573.85"/>
    <n v="344.31"/>
    <n v="4.99"/>
    <n v="924"/>
    <x v="0"/>
    <n v="2916"/>
  </r>
  <r>
    <n v="224"/>
    <n v="1987"/>
    <x v="0"/>
    <x v="979"/>
    <x v="671"/>
    <s v="eng"/>
    <x v="2"/>
    <n v="4.22"/>
    <x v="975"/>
    <x v="0"/>
    <n v="3821.22"/>
    <n v="2292.732"/>
    <n v="8.9700000000000006"/>
    <n v="244"/>
    <x v="0"/>
    <n v="426"/>
  </r>
  <r>
    <n v="363"/>
    <n v="1989"/>
    <x v="0"/>
    <x v="980"/>
    <x v="671"/>
    <s v="eng"/>
    <x v="0"/>
    <n v="4.32"/>
    <x v="976"/>
    <x v="0"/>
    <n v="1142.71"/>
    <n v="0"/>
    <n v="4.99"/>
    <n v="392"/>
    <x v="0"/>
    <n v="6183"/>
  </r>
  <r>
    <n v="558"/>
    <n v="1987"/>
    <x v="0"/>
    <x v="981"/>
    <x v="671"/>
    <s v="eng"/>
    <x v="2"/>
    <n v="4"/>
    <x v="977"/>
    <x v="0"/>
    <n v="145.53"/>
    <n v="0"/>
    <n v="0.99"/>
    <n v="625"/>
    <x v="0"/>
    <n v="3969"/>
  </r>
  <r>
    <n v="806"/>
    <n v="2004"/>
    <x v="1"/>
    <x v="982"/>
    <x v="671"/>
    <s v="eng"/>
    <x v="0"/>
    <n v="4.3600000000000003"/>
    <x v="978"/>
    <x v="2"/>
    <n v="1366.86"/>
    <n v="820.11599999999999"/>
    <n v="11.99"/>
    <n v="939"/>
    <x v="2"/>
    <n v="2916"/>
  </r>
  <r>
    <n v="811"/>
    <n v="2002"/>
    <x v="1"/>
    <x v="983"/>
    <x v="671"/>
    <s v="eng"/>
    <x v="3"/>
    <n v="4.47"/>
    <x v="979"/>
    <x v="1"/>
    <n v="910.86"/>
    <n v="546.51599999999996"/>
    <n v="7.99"/>
    <n v="947"/>
    <x v="0"/>
    <n v="2916"/>
  </r>
  <r>
    <n v="812"/>
    <n v="1986"/>
    <x v="0"/>
    <x v="984"/>
    <x v="671"/>
    <s v="en-US"/>
    <x v="2"/>
    <n v="3.94"/>
    <x v="980"/>
    <x v="1"/>
    <n v="112.86"/>
    <n v="67.715999999999994"/>
    <n v="0.99"/>
    <n v="949"/>
    <x v="0"/>
    <n v="2916"/>
  </r>
  <r>
    <n v="837"/>
    <n v="1992"/>
    <x v="0"/>
    <x v="985"/>
    <x v="671"/>
    <s v="en-GB"/>
    <x v="0"/>
    <n v="4.2699999999999996"/>
    <x v="981"/>
    <x v="0"/>
    <n v="1220.4000000000001"/>
    <n v="732.24"/>
    <n v="10.8"/>
    <n v="977"/>
    <x v="8"/>
    <n v="2889"/>
  </r>
  <r>
    <n v="485"/>
    <n v="2001"/>
    <x v="1"/>
    <x v="986"/>
    <x v="672"/>
    <s v="en-GB"/>
    <x v="0"/>
    <n v="4.0999999999999996"/>
    <x v="982"/>
    <x v="1"/>
    <n v="1835.33"/>
    <n v="1101.1980000000001"/>
    <n v="10.99"/>
    <n v="536"/>
    <x v="6"/>
    <n v="4509"/>
  </r>
  <r>
    <n v="557"/>
    <n v="1874"/>
    <x v="2"/>
    <x v="987"/>
    <x v="673"/>
    <s v="eng"/>
    <x v="2"/>
    <n v="3.92"/>
    <x v="983"/>
    <x v="0"/>
    <n v="1997.73"/>
    <n v="1198.6379999999999"/>
    <n v="13.59"/>
    <n v="624"/>
    <x v="8"/>
    <n v="3969"/>
  </r>
  <r>
    <n v="28"/>
    <n v="1891"/>
    <x v="2"/>
    <x v="988"/>
    <x v="674"/>
    <s v="eng"/>
    <x v="2"/>
    <n v="3.77"/>
    <x v="984"/>
    <x v="1"/>
    <n v="9576"/>
    <n v="5745.6"/>
    <n v="3.99"/>
    <n v="29"/>
    <x v="7"/>
    <n v="2400"/>
  </r>
  <r>
    <n v="231"/>
    <n v="1982"/>
    <x v="0"/>
    <x v="989"/>
    <x v="675"/>
    <s v="eng"/>
    <x v="2"/>
    <n v="4.34"/>
    <x v="985"/>
    <x v="0"/>
    <n v="2537.9"/>
    <n v="1522.74"/>
    <n v="6.19"/>
    <n v="254"/>
    <x v="0"/>
    <n v="410"/>
  </r>
  <r>
    <n v="438"/>
    <n v="2005"/>
    <x v="1"/>
    <x v="990"/>
    <x v="676"/>
    <s v="en-US"/>
    <x v="2"/>
    <n v="3.66"/>
    <x v="986"/>
    <x v="0"/>
    <n v="544.17999999999995"/>
    <n v="326.50799999999998"/>
    <n v="2.99"/>
    <n v="485"/>
    <x v="7"/>
    <n v="4914"/>
  </r>
  <r>
    <n v="657"/>
    <n v="2007"/>
    <x v="1"/>
    <x v="991"/>
    <x v="677"/>
    <s v="eng"/>
    <x v="2"/>
    <n v="3.84"/>
    <x v="987"/>
    <x v="0"/>
    <n v="355.81"/>
    <n v="0"/>
    <n v="2.99"/>
    <n v="757"/>
    <x v="0"/>
    <n v="41256"/>
  </r>
  <r>
    <n v="189"/>
    <n v="2002"/>
    <x v="1"/>
    <x v="992"/>
    <x v="678"/>
    <s v="eng"/>
    <x v="2"/>
    <n v="4.21"/>
    <x v="988"/>
    <x v="2"/>
    <n v="2605.92"/>
    <n v="1563.5519999999999"/>
    <n v="5.34"/>
    <n v="207"/>
    <x v="2"/>
    <n v="488"/>
  </r>
  <r>
    <n v="97"/>
    <n v="1987"/>
    <x v="0"/>
    <x v="993"/>
    <x v="679"/>
    <s v="eng"/>
    <x v="2"/>
    <n v="4.1100000000000003"/>
    <x v="989"/>
    <x v="0"/>
    <n v="6079.85"/>
    <n v="0"/>
    <n v="5.99"/>
    <n v="99"/>
    <x v="0"/>
    <n v="1015"/>
  </r>
  <r>
    <n v="254"/>
    <n v="1989"/>
    <x v="0"/>
    <x v="994"/>
    <x v="679"/>
    <s v="eng"/>
    <x v="2"/>
    <n v="4.08"/>
    <x v="990"/>
    <x v="0"/>
    <n v="1115.27"/>
    <n v="669.16200000000003"/>
    <n v="2.99"/>
    <n v="276"/>
    <x v="7"/>
    <n v="373"/>
  </r>
  <r>
    <n v="768"/>
    <n v="1980"/>
    <x v="0"/>
    <x v="995"/>
    <x v="680"/>
    <s v="eng"/>
    <x v="0"/>
    <n v="4.04"/>
    <x v="991"/>
    <x v="0"/>
    <n v="346.84"/>
    <n v="0"/>
    <n v="2.99"/>
    <n v="887"/>
    <x v="0"/>
    <n v="29808"/>
  </r>
  <r>
    <n v="972"/>
    <n v="1984"/>
    <x v="0"/>
    <x v="996"/>
    <x v="680"/>
    <s v="eng"/>
    <x v="0"/>
    <n v="4.24"/>
    <x v="992"/>
    <x v="0"/>
    <n v="325.91000000000003"/>
    <n v="0"/>
    <n v="2.99"/>
    <n v="1148"/>
    <x v="0"/>
    <n v="4240"/>
  </r>
  <r>
    <n v="1053"/>
    <n v="1966"/>
    <x v="0"/>
    <x v="997"/>
    <x v="681"/>
    <s v="eng"/>
    <x v="0"/>
    <n v="4.0599999999999996"/>
    <x v="993"/>
    <x v="1"/>
    <n v="1334.54"/>
    <n v="800.72400000000005"/>
    <n v="12.59"/>
    <n v="1248"/>
    <x v="6"/>
    <n v="106"/>
  </r>
  <r>
    <n v="1039"/>
    <n v="1968"/>
    <x v="0"/>
    <x v="998"/>
    <x v="682"/>
    <s v="en-US"/>
    <x v="2"/>
    <n v="3.92"/>
    <x v="994"/>
    <x v="0"/>
    <n v="319.93"/>
    <n v="0"/>
    <n v="2.99"/>
    <n v="1225"/>
    <x v="0"/>
    <n v="107"/>
  </r>
  <r>
    <n v="232"/>
    <n v="1970"/>
    <x v="0"/>
    <x v="999"/>
    <x v="683"/>
    <s v="eng"/>
    <x v="2"/>
    <n v="3.99"/>
    <x v="995"/>
    <x v="0"/>
    <n v="1219.92"/>
    <n v="0"/>
    <n v="2.99"/>
    <n v="255"/>
    <x v="0"/>
    <n v="408"/>
  </r>
  <r>
    <n v="915"/>
    <n v="2003"/>
    <x v="1"/>
    <x v="1000"/>
    <x v="684"/>
    <m/>
    <x v="2"/>
    <n v="3.81"/>
    <x v="996"/>
    <x v="0"/>
    <n v="109.89"/>
    <n v="0"/>
    <n v="0.99"/>
    <n v="1073"/>
    <x v="0"/>
    <n v="4360"/>
  </r>
  <r>
    <n v="762"/>
    <n v="2007"/>
    <x v="1"/>
    <x v="1001"/>
    <x v="685"/>
    <s v="en-US"/>
    <x v="0"/>
    <n v="4.1399999999999997"/>
    <x v="997"/>
    <x v="0"/>
    <n v="114.84"/>
    <n v="68.903999999999996"/>
    <n v="0.99"/>
    <n v="881"/>
    <x v="0"/>
    <n v="30672"/>
  </r>
  <r>
    <n v="133"/>
    <n v="1958"/>
    <x v="0"/>
    <x v="1002"/>
    <x v="686"/>
    <s v="eng"/>
    <x v="2"/>
    <n v="3.89"/>
    <x v="998"/>
    <x v="0"/>
    <n v="792"/>
    <n v="475.2"/>
    <n v="0.99"/>
    <n v="140"/>
    <x v="0"/>
    <n v="800"/>
  </r>
  <r>
    <n v="54"/>
    <n v="2004"/>
    <x v="1"/>
    <x v="1003"/>
    <x v="687"/>
    <s v="eng"/>
    <x v="3"/>
    <n v="4.42"/>
    <x v="999"/>
    <x v="0"/>
    <n v="6687.24"/>
    <n v="0"/>
    <n v="3.99"/>
    <n v="56"/>
    <x v="0"/>
    <n v="1676"/>
  </r>
  <r>
    <n v="0"/>
    <n v="1975"/>
    <x v="0"/>
    <x v="1004"/>
    <x v="688"/>
    <s v="en-US"/>
    <x v="1"/>
    <n v="3.42"/>
    <x v="1000"/>
    <x v="0"/>
    <n v="34160"/>
    <n v="20496"/>
    <n v="4.88"/>
    <n v="1"/>
    <x v="8"/>
    <n v="7000"/>
  </r>
  <r>
    <n v="348"/>
    <n v="1906"/>
    <x v="0"/>
    <x v="1005"/>
    <x v="689"/>
    <s v="eng"/>
    <x v="2"/>
    <n v="3.72"/>
    <x v="1001"/>
    <x v="0"/>
    <n v="1419.63"/>
    <n v="851.77800000000002"/>
    <n v="5.99"/>
    <n v="375"/>
    <x v="6"/>
    <n v="237"/>
  </r>
  <r>
    <n v="628"/>
    <n v="1994"/>
    <x v="0"/>
    <x v="1006"/>
    <x v="690"/>
    <s v="en-GB"/>
    <x v="0"/>
    <n v="4.07"/>
    <x v="1002"/>
    <x v="0"/>
    <n v="787.2"/>
    <n v="472.32"/>
    <n v="6.15"/>
    <n v="712"/>
    <x v="0"/>
    <n v="47304"/>
  </r>
  <r>
    <n v="62"/>
    <n v="1968"/>
    <x v="0"/>
    <x v="1007"/>
    <x v="691"/>
    <s v="en-US"/>
    <x v="2"/>
    <n v="3.99"/>
    <x v="1003"/>
    <x v="0"/>
    <n v="4707"/>
    <n v="0"/>
    <n v="3"/>
    <n v="63"/>
    <x v="0"/>
    <n v="1569"/>
  </r>
  <r>
    <n v="1060"/>
    <n v="1972"/>
    <x v="0"/>
    <x v="1008"/>
    <x v="691"/>
    <m/>
    <x v="0"/>
    <n v="4.1100000000000003"/>
    <x v="1004"/>
    <x v="1"/>
    <n v="210.94"/>
    <n v="0"/>
    <n v="1.99"/>
    <n v="1258"/>
    <x v="0"/>
    <n v="106"/>
  </r>
  <r>
    <n v="1043"/>
    <n v="1969"/>
    <x v="0"/>
    <x v="1009"/>
    <x v="692"/>
    <s v="eng"/>
    <x v="0"/>
    <n v="4.05"/>
    <x v="1005"/>
    <x v="0"/>
    <n v="822.83"/>
    <n v="493.69799999999998"/>
    <n v="7.69"/>
    <n v="1233"/>
    <x v="6"/>
    <n v="107"/>
  </r>
  <r>
    <n v="320"/>
    <n v="1979"/>
    <x v="0"/>
    <x v="1010"/>
    <x v="693"/>
    <s v="eng"/>
    <x v="2"/>
    <n v="3.79"/>
    <x v="1006"/>
    <x v="3"/>
    <n v="1877.82"/>
    <n v="1126.692"/>
    <n v="7.14"/>
    <n v="342"/>
    <x v="0"/>
    <n v="263"/>
  </r>
  <r>
    <n v="36"/>
    <n v="2011"/>
    <x v="1"/>
    <x v="1011"/>
    <x v="694"/>
    <s v="eng"/>
    <x v="2"/>
    <n v="4.07"/>
    <x v="1007"/>
    <x v="0"/>
    <n v="1964.16"/>
    <n v="1178.4960000000001"/>
    <n v="0.99"/>
    <n v="36"/>
    <x v="0"/>
    <n v="1984"/>
  </r>
  <r>
    <n v="882"/>
    <n v="2011"/>
    <x v="1"/>
    <x v="1012"/>
    <x v="695"/>
    <s v="en-GB"/>
    <x v="0"/>
    <n v="4.01"/>
    <x v="1008"/>
    <x v="0"/>
    <n v="446.88"/>
    <n v="0"/>
    <n v="3.99"/>
    <n v="1034"/>
    <x v="0"/>
    <n v="4440"/>
  </r>
  <r>
    <n v="514"/>
    <n v="2014"/>
    <x v="1"/>
    <x v="1013"/>
    <x v="696"/>
    <s v="eng"/>
    <x v="0"/>
    <n v="4.0999999999999996"/>
    <x v="1009"/>
    <x v="2"/>
    <n v="475.41"/>
    <n v="0"/>
    <n v="2.99"/>
    <n v="570"/>
    <x v="0"/>
    <n v="4293"/>
  </r>
  <r>
    <n v="666"/>
    <n v="2012"/>
    <x v="1"/>
    <x v="1014"/>
    <x v="696"/>
    <s v="eng"/>
    <x v="0"/>
    <n v="4.18"/>
    <x v="1010"/>
    <x v="1"/>
    <n v="1188.81"/>
    <n v="713.28599999999994"/>
    <n v="9.99"/>
    <n v="765"/>
    <x v="7"/>
    <n v="38880"/>
  </r>
  <r>
    <n v="247"/>
    <n v="1831"/>
    <x v="2"/>
    <x v="1015"/>
    <x v="697"/>
    <s v="eng"/>
    <x v="2"/>
    <n v="3.97"/>
    <x v="1011"/>
    <x v="1"/>
    <n v="3013.71"/>
    <n v="1808.2260000000001"/>
    <n v="7.91"/>
    <n v="271"/>
    <x v="0"/>
    <n v="381"/>
  </r>
  <r>
    <n v="5"/>
    <n v="2015"/>
    <x v="1"/>
    <x v="1016"/>
    <x v="698"/>
    <s v="eng"/>
    <x v="2"/>
    <n v="4.08"/>
    <x v="1012"/>
    <x v="0"/>
    <n v="19960"/>
    <n v="0"/>
    <n v="4.99"/>
    <n v="5"/>
    <x v="0"/>
    <n v="4000"/>
  </r>
  <r>
    <n v="444"/>
    <n v="1974"/>
    <x v="0"/>
    <x v="1017"/>
    <x v="699"/>
    <s v="en-GB"/>
    <x v="2"/>
    <n v="4"/>
    <x v="1013"/>
    <x v="0"/>
    <n v="176.22"/>
    <n v="0"/>
    <n v="0.99"/>
    <n v="493"/>
    <x v="0"/>
    <n v="4806"/>
  </r>
  <r>
    <n v="749"/>
    <n v="-17"/>
    <x v="2"/>
    <x v="1018"/>
    <x v="700"/>
    <s v="eng"/>
    <x v="2"/>
    <n v="3.81"/>
    <x v="1014"/>
    <x v="0"/>
    <n v="114.84"/>
    <n v="0"/>
    <n v="0.99"/>
    <n v="863"/>
    <x v="0"/>
    <n v="31752"/>
  </r>
  <r>
    <n v="553"/>
    <n v="1927"/>
    <x v="0"/>
    <x v="1019"/>
    <x v="701"/>
    <s v="eng"/>
    <x v="2"/>
    <n v="3.76"/>
    <x v="1015"/>
    <x v="0"/>
    <n v="1144.04"/>
    <n v="686.42399999999998"/>
    <n v="7.73"/>
    <n v="619"/>
    <x v="3"/>
    <n v="3996"/>
  </r>
  <r>
    <n v="170"/>
    <n v="1925"/>
    <x v="0"/>
    <x v="1020"/>
    <x v="702"/>
    <s v="en-US"/>
    <x v="2"/>
    <n v="3.78"/>
    <x v="1016"/>
    <x v="0"/>
    <n v="1174.0999999999999"/>
    <n v="704.46"/>
    <n v="1.99"/>
    <n v="182"/>
    <x v="0"/>
    <n v="590"/>
  </r>
  <r>
    <n v="45"/>
    <n v="1759"/>
    <x v="2"/>
    <x v="1021"/>
    <x v="703"/>
    <s v="eng"/>
    <x v="2"/>
    <n v="3.76"/>
    <x v="1017"/>
    <x v="0"/>
    <n v="8982"/>
    <n v="0"/>
    <n v="4.99"/>
    <n v="48"/>
    <x v="0"/>
    <n v="1800"/>
  </r>
  <r>
    <n v="940"/>
    <n v="2010"/>
    <x v="1"/>
    <x v="1022"/>
    <x v="704"/>
    <s v="en-US"/>
    <x v="0"/>
    <n v="4.3499999999999996"/>
    <x v="1018"/>
    <x v="0"/>
    <n v="328.9"/>
    <n v="0"/>
    <n v="2.99"/>
    <n v="1105"/>
    <x v="0"/>
    <n v="4320"/>
  </r>
  <r>
    <n v="504"/>
    <n v="2007"/>
    <x v="1"/>
    <x v="1023"/>
    <x v="705"/>
    <s v="eng"/>
    <x v="0"/>
    <n v="4.08"/>
    <x v="1019"/>
    <x v="1"/>
    <n v="322.38"/>
    <n v="193.428"/>
    <n v="1.99"/>
    <n v="557"/>
    <x v="0"/>
    <n v="4374"/>
  </r>
  <r>
    <n v="802"/>
    <n v="2003"/>
    <x v="1"/>
    <x v="1024"/>
    <x v="705"/>
    <s v="eng"/>
    <x v="2"/>
    <n v="3.96"/>
    <x v="1020"/>
    <x v="0"/>
    <n v="573.85"/>
    <n v="344.31"/>
    <n v="4.99"/>
    <n v="933"/>
    <x v="3"/>
    <n v="2916"/>
  </r>
  <r>
    <n v="989"/>
    <n v="1959"/>
    <x v="0"/>
    <x v="1025"/>
    <x v="706"/>
    <s v="eng"/>
    <x v="2"/>
    <n v="3.97"/>
    <x v="1021"/>
    <x v="0"/>
    <n v="106.92"/>
    <n v="0"/>
    <n v="0.99"/>
    <n v="1167"/>
    <x v="0"/>
    <n v="108"/>
  </r>
  <r>
    <n v="680"/>
    <n v="1930"/>
    <x v="0"/>
    <x v="1026"/>
    <x v="707"/>
    <s v="en-US"/>
    <x v="0"/>
    <n v="4.1500000000000004"/>
    <x v="1022"/>
    <x v="0"/>
    <n v="593.80999999999995"/>
    <n v="0"/>
    <n v="4.99"/>
    <n v="783"/>
    <x v="0"/>
    <n v="37152"/>
  </r>
  <r>
    <n v="914"/>
    <n v="2001"/>
    <x v="1"/>
    <x v="1027"/>
    <x v="708"/>
    <s v="en-US"/>
    <x v="2"/>
    <n v="3.94"/>
    <x v="1023"/>
    <x v="1"/>
    <n v="109.89"/>
    <n v="0"/>
    <n v="0.99"/>
    <n v="1072"/>
    <x v="0"/>
    <n v="4360"/>
  </r>
  <r>
    <n v="533"/>
    <n v="1859"/>
    <x v="2"/>
    <x v="1028"/>
    <x v="709"/>
    <s v="eng"/>
    <x v="2"/>
    <n v="3.98"/>
    <x v="1024"/>
    <x v="0"/>
    <n v="768.46"/>
    <n v="0"/>
    <n v="4.99"/>
    <n v="594"/>
    <x v="0"/>
    <n v="4158"/>
  </r>
  <r>
    <n v="563"/>
    <n v="1918"/>
    <x v="0"/>
    <x v="1029"/>
    <x v="710"/>
    <s v="eng"/>
    <x v="2"/>
    <n v="3.76"/>
    <x v="1025"/>
    <x v="0"/>
    <n v="582.54"/>
    <n v="0"/>
    <n v="3.99"/>
    <n v="629"/>
    <x v="0"/>
    <n v="3942"/>
  </r>
  <r>
    <n v="187"/>
    <n v="1929"/>
    <x v="0"/>
    <x v="1030"/>
    <x v="711"/>
    <s v="eng"/>
    <x v="2"/>
    <n v="3.86"/>
    <x v="1026"/>
    <x v="0"/>
    <n v="2445.1"/>
    <n v="1467.06"/>
    <n v="4.99"/>
    <n v="206"/>
    <x v="7"/>
    <n v="490"/>
  </r>
  <r>
    <n v="356"/>
    <n v="1930"/>
    <x v="0"/>
    <x v="1031"/>
    <x v="711"/>
    <s v="eng"/>
    <x v="2"/>
    <n v="3.72"/>
    <x v="1027"/>
    <x v="1"/>
    <n v="461.68"/>
    <n v="277.00799999999998"/>
    <n v="1.99"/>
    <n v="385"/>
    <x v="8"/>
    <n v="6264"/>
  </r>
  <r>
    <n v="889"/>
    <n v="1960"/>
    <x v="0"/>
    <x v="1032"/>
    <x v="712"/>
    <s v="eng"/>
    <x v="0"/>
    <n v="4.1500000000000004"/>
    <x v="1028"/>
    <x v="0"/>
    <n v="334.88"/>
    <n v="200.928"/>
    <n v="2.99"/>
    <n v="1044"/>
    <x v="8"/>
    <n v="4440"/>
  </r>
  <r>
    <n v="542"/>
    <n v="1847"/>
    <x v="2"/>
    <x v="1033"/>
    <x v="713"/>
    <s v="eng"/>
    <x v="2"/>
    <n v="3.76"/>
    <x v="1029"/>
    <x v="0"/>
    <n v="149.49"/>
    <n v="0"/>
    <n v="0.99"/>
    <n v="605"/>
    <x v="0"/>
    <n v="4077"/>
  </r>
  <r>
    <n v="200"/>
    <n v="1971"/>
    <x v="0"/>
    <x v="1034"/>
    <x v="714"/>
    <s v="en-US"/>
    <x v="2"/>
    <n v="4.1399999999999997"/>
    <x v="1030"/>
    <x v="0"/>
    <n v="1399.32"/>
    <n v="0"/>
    <n v="2.99"/>
    <n v="219"/>
    <x v="0"/>
    <n v="468"/>
  </r>
  <r>
    <n v="1040"/>
    <n v="1959"/>
    <x v="0"/>
    <x v="1035"/>
    <x v="715"/>
    <s v="en-US"/>
    <x v="1"/>
    <n v="3.46"/>
    <x v="1031"/>
    <x v="0"/>
    <n v="529.65"/>
    <n v="317.79000000000002"/>
    <n v="4.95"/>
    <n v="1226"/>
    <x v="0"/>
    <n v="107"/>
  </r>
  <r>
    <n v="183"/>
    <n v="1603"/>
    <x v="2"/>
    <x v="1036"/>
    <x v="716"/>
    <s v="eng"/>
    <x v="2"/>
    <n v="3.89"/>
    <x v="1032"/>
    <x v="0"/>
    <n v="2014.95"/>
    <n v="1208.97"/>
    <n v="3.99"/>
    <n v="199"/>
    <x v="0"/>
    <n v="505"/>
  </r>
  <r>
    <n v="242"/>
    <n v="1593"/>
    <x v="2"/>
    <x v="1037"/>
    <x v="716"/>
    <s v="en-US"/>
    <x v="2"/>
    <n v="3.81"/>
    <x v="1033"/>
    <x v="1"/>
    <n v="2726.1"/>
    <n v="1635.66"/>
    <n v="6.99"/>
    <n v="266"/>
    <x v="7"/>
    <n v="390"/>
  </r>
  <r>
    <n v="273"/>
    <n v="1623"/>
    <x v="2"/>
    <x v="1038"/>
    <x v="716"/>
    <s v="en-US"/>
    <x v="2"/>
    <n v="3.8"/>
    <x v="1034"/>
    <x v="0"/>
    <n v="1025.57"/>
    <n v="0"/>
    <n v="2.99"/>
    <n v="294"/>
    <x v="0"/>
    <n v="343"/>
  </r>
  <r>
    <n v="324"/>
    <n v="1601"/>
    <x v="2"/>
    <x v="1039"/>
    <x v="716"/>
    <s v="eng"/>
    <x v="2"/>
    <n v="3.97"/>
    <x v="1035"/>
    <x v="0"/>
    <n v="1527.45"/>
    <n v="916.47"/>
    <n v="5.99"/>
    <n v="347"/>
    <x v="2"/>
    <n v="255"/>
  </r>
  <r>
    <n v="308"/>
    <n v="1596"/>
    <x v="2"/>
    <x v="1040"/>
    <x v="717"/>
    <s v="eng"/>
    <x v="2"/>
    <n v="3.78"/>
    <x v="1036"/>
    <x v="0"/>
    <n v="427.5"/>
    <n v="0"/>
    <n v="1.5"/>
    <n v="329"/>
    <x v="0"/>
    <n v="285"/>
  </r>
  <r>
    <n v="239"/>
    <n v="1599"/>
    <x v="2"/>
    <x v="1041"/>
    <x v="718"/>
    <s v="eng"/>
    <x v="2"/>
    <n v="3.65"/>
    <x v="1037"/>
    <x v="0"/>
    <n v="392.04"/>
    <n v="235.22399999999999"/>
    <n v="0.99"/>
    <n v="262"/>
    <x v="0"/>
    <n v="396"/>
  </r>
  <r>
    <n v="904"/>
    <n v="1979"/>
    <x v="0"/>
    <x v="1042"/>
    <x v="719"/>
    <s v="eng"/>
    <x v="0"/>
    <n v="4.18"/>
    <x v="1038"/>
    <x v="1"/>
    <n v="220.89"/>
    <n v="132.53399999999999"/>
    <n v="1.99"/>
    <n v="1059"/>
    <x v="0"/>
    <n v="4400"/>
  </r>
  <r>
    <n v="821"/>
    <n v="2007"/>
    <x v="1"/>
    <x v="1043"/>
    <x v="720"/>
    <s v="eng"/>
    <x v="0"/>
    <n v="4.37"/>
    <x v="1039"/>
    <x v="1"/>
    <n v="1366.86"/>
    <n v="820.11599999999999"/>
    <n v="11.99"/>
    <n v="960"/>
    <x v="2"/>
    <n v="2889"/>
  </r>
  <r>
    <n v="474"/>
    <n v="1999"/>
    <x v="0"/>
    <x v="1044"/>
    <x v="721"/>
    <s v="en-US"/>
    <x v="2"/>
    <n v="3.75"/>
    <x v="1040"/>
    <x v="2"/>
    <n v="167.31"/>
    <n v="100.386"/>
    <n v="0.99"/>
    <n v="524"/>
    <x v="0"/>
    <n v="45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E3C6D8-4EB3-44A2-B06D-AD611C42DCF5}" name="PT5_reader_insigh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7:G22" firstHeaderRow="0" firstDataRow="1" firstDataCol="1"/>
  <pivotFields count="16">
    <pivotField showAll="0"/>
    <pivotField showAll="0"/>
    <pivotField showAll="0">
      <items count="4">
        <item x="0"/>
        <item x="1"/>
        <item x="2"/>
        <item t="default"/>
      </items>
    </pivotField>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items count="5">
        <item x="3"/>
        <item x="2"/>
        <item x="0"/>
        <item x="1"/>
        <item t="default"/>
      </items>
    </pivotField>
    <pivotField showAll="0"/>
    <pivotField showAll="0"/>
    <pivotField showAll="0"/>
    <pivotField showAll="0"/>
    <pivotField showAll="0">
      <items count="10">
        <item h="1" x="0"/>
        <item x="7"/>
        <item h="1" x="5"/>
        <item h="1" x="8"/>
        <item h="1" x="4"/>
        <item h="1" x="3"/>
        <item h="1" x="2"/>
        <item h="1" x="6"/>
        <item h="1" x="1"/>
        <item t="default"/>
      </items>
    </pivotField>
    <pivotField showAll="0"/>
  </pivotFields>
  <rowFields count="1">
    <field x="6"/>
  </rowFields>
  <rowItems count="5">
    <i>
      <x v="1"/>
    </i>
    <i>
      <x/>
    </i>
    <i>
      <x v="2"/>
    </i>
    <i>
      <x v="3"/>
    </i>
    <i t="grand">
      <x/>
    </i>
  </rowItems>
  <colFields count="1">
    <field x="-2"/>
  </colFields>
  <colItems count="2">
    <i>
      <x/>
    </i>
    <i i="1">
      <x v="1"/>
    </i>
  </colItems>
  <dataFields count="2">
    <dataField name="Avg Book Rating" fld="7" subtotal="average" baseField="6" baseItem="1"/>
    <dataField name="Avg Review Count" fld="8" subtotal="average" baseField="6" baseItem="1" numFmtId="165"/>
  </dataFields>
  <formats count="2">
    <format dxfId="15">
      <pivotArea collapsedLevelsAreSubtotals="1" fieldPosition="0">
        <references count="1">
          <reference field="6" count="0"/>
        </references>
      </pivotArea>
    </format>
    <format dxfId="14">
      <pivotArea outline="0" fieldPosition="0">
        <references count="1">
          <reference field="4294967294" count="1">
            <x v="1"/>
          </reference>
        </references>
      </pivotArea>
    </format>
  </formats>
  <chartFormats count="4">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95F101-070F-42FD-B127-F114BA73D234}" name="PT8_avg_sale_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6:F41" firstHeaderRow="1" firstDataRow="1" firstDataCol="1"/>
  <pivotFields count="16">
    <pivotField showAll="0"/>
    <pivotField showAll="0"/>
    <pivotField showAll="0">
      <items count="4">
        <item x="0"/>
        <item x="1"/>
        <item x="2"/>
        <item t="default"/>
      </items>
    </pivotField>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dataField="1" showAll="0"/>
    <pivotField showAll="0"/>
    <pivotField showAll="0">
      <items count="10">
        <item h="1" x="0"/>
        <item x="7"/>
        <item h="1" x="5"/>
        <item h="1" x="8"/>
        <item h="1" x="4"/>
        <item h="1" x="3"/>
        <item h="1" x="2"/>
        <item h="1" x="6"/>
        <item h="1" x="1"/>
        <item t="default"/>
      </items>
    </pivotField>
    <pivotField showAll="0"/>
  </pivotFields>
  <rowFields count="1">
    <field x="6"/>
  </rowFields>
  <rowItems count="5">
    <i>
      <x v="2"/>
    </i>
    <i>
      <x/>
    </i>
    <i>
      <x v="3"/>
    </i>
    <i>
      <x v="1"/>
    </i>
    <i t="grand">
      <x/>
    </i>
  </rowItems>
  <colItems count="1">
    <i/>
  </colItems>
  <dataFields count="1">
    <dataField name="Average of sale price" fld="12" subtotal="average" baseField="6" baseItem="0" numFmtId="164"/>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43298-FA45-44F9-9B59-8ACF8DC86951}" name="PT3_avg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1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items count="10">
        <item h="1" x="0"/>
        <item x="7"/>
        <item h="1" x="5"/>
        <item h="1" x="8"/>
        <item h="1" x="4"/>
        <item h="1" x="3"/>
        <item h="1" x="2"/>
        <item h="1" x="6"/>
        <item h="1" x="1"/>
        <item t="default"/>
      </items>
    </pivotField>
    <pivotField dataField="1" showAll="0"/>
  </pivotFields>
  <rowItems count="1">
    <i/>
  </rowItems>
  <colItems count="1">
    <i/>
  </colItems>
  <dataFields count="1">
    <dataField name="Average of units sold" fld="15"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BD3B8F-D954-4144-9B0C-DE9AF8D43DEE}" name="PT7_commercial_perf"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6:G31" firstHeaderRow="0" firstDataRow="1" firstDataCol="1"/>
  <pivotFields count="16">
    <pivotField showAll="0"/>
    <pivotField showAll="0"/>
    <pivotField showAll="0">
      <items count="4">
        <item x="0"/>
        <item x="1"/>
        <item x="2"/>
        <item t="default"/>
      </items>
    </pivotField>
    <pivotField showAll="0"/>
    <pivotField showAll="0"/>
    <pivotField showAll="0"/>
    <pivotField axis="axisRow" showAll="0">
      <items count="5">
        <item x="0"/>
        <item x="3"/>
        <item x="2"/>
        <item x="1"/>
        <item t="default"/>
      </items>
    </pivotField>
    <pivotField showAll="0"/>
    <pivotField showAll="0"/>
    <pivotField showAll="0">
      <items count="5">
        <item x="3"/>
        <item x="2"/>
        <item x="0"/>
        <item x="1"/>
        <item t="default"/>
      </items>
    </pivotField>
    <pivotField dataField="1" showAll="0"/>
    <pivotField showAll="0"/>
    <pivotField showAll="0"/>
    <pivotField showAll="0"/>
    <pivotField showAll="0">
      <items count="10">
        <item h="1" x="0"/>
        <item x="7"/>
        <item h="1" x="5"/>
        <item h="1" x="8"/>
        <item h="1" x="4"/>
        <item h="1" x="3"/>
        <item h="1" x="2"/>
        <item h="1" x="6"/>
        <item h="1" x="1"/>
        <item t="default"/>
      </items>
    </pivotField>
    <pivotField dataField="1" showAll="0"/>
  </pivotFields>
  <rowFields count="1">
    <field x="6"/>
  </rowFields>
  <rowItems count="5">
    <i>
      <x/>
    </i>
    <i>
      <x v="1"/>
    </i>
    <i>
      <x v="2"/>
    </i>
    <i>
      <x v="3"/>
    </i>
    <i t="grand">
      <x/>
    </i>
  </rowItems>
  <colFields count="1">
    <field x="-2"/>
  </colFields>
  <colItems count="2">
    <i>
      <x/>
    </i>
    <i i="1">
      <x v="1"/>
    </i>
  </colItems>
  <dataFields count="2">
    <dataField name="Avg of units sold" fld="15" subtotal="average" baseField="6" baseItem="2" numFmtId="165"/>
    <dataField name="Avg of gross sales" fld="10" subtotal="average" baseField="6" baseItem="0" numFmtId="164"/>
  </dataFields>
  <formats count="3">
    <format dxfId="18">
      <pivotArea collapsedLevelsAreSubtotals="1" fieldPosition="0">
        <references count="1">
          <reference field="6" count="0"/>
        </references>
      </pivotArea>
    </format>
    <format dxfId="17">
      <pivotArea outline="0" fieldPosition="0">
        <references count="1">
          <reference field="4294967294" count="1">
            <x v="0"/>
          </reference>
        </references>
      </pivotArea>
    </format>
    <format dxfId="16">
      <pivotArea outline="0" fieldPosition="0">
        <references count="1">
          <reference field="4294967294" count="1">
            <x v="1"/>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17D94-A349-4080-B66C-2B2AADD5AFB1}" name="PT1_total_boo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16">
    <pivotField showAll="0"/>
    <pivotField showAll="0"/>
    <pivotField showAll="0">
      <items count="4">
        <item x="0"/>
        <item x="1"/>
        <item x="2"/>
        <item t="default"/>
      </items>
    </pivotField>
    <pivotField dataField="1"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items count="10">
        <item h="1" x="0"/>
        <item x="7"/>
        <item h="1" x="5"/>
        <item h="1" x="8"/>
        <item h="1" x="4"/>
        <item h="1" x="3"/>
        <item h="1" x="2"/>
        <item h="1" x="6"/>
        <item h="1" x="1"/>
        <item t="default"/>
      </items>
    </pivotField>
    <pivotField showAll="0"/>
  </pivotFields>
  <rowItems count="1">
    <i/>
  </rowItems>
  <colItems count="1">
    <i/>
  </colItems>
  <dataFields count="1">
    <dataField name="Count of Book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0DC3F7-A73F-4AEE-A54B-0A270DF2581D}" name="PT2_avg_gross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H12" firstHeaderRow="1" firstDataRow="1" firstDataCol="0"/>
  <pivotFields count="1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5">
        <item x="3"/>
        <item x="2"/>
        <item x="0"/>
        <item x="1"/>
        <item t="default"/>
      </items>
    </pivotField>
    <pivotField dataField="1" showAll="0"/>
    <pivotField showAll="0"/>
    <pivotField showAll="0"/>
    <pivotField showAll="0"/>
    <pivotField multipleItemSelectionAllowed="1" showAll="0">
      <items count="10">
        <item h="1" x="0"/>
        <item x="7"/>
        <item h="1" x="5"/>
        <item h="1" x="8"/>
        <item h="1" x="4"/>
        <item h="1" x="3"/>
        <item h="1" x="2"/>
        <item h="1" x="6"/>
        <item h="1" x="1"/>
        <item t="default"/>
      </items>
    </pivotField>
    <pivotField showAll="0"/>
  </pivotFields>
  <rowItems count="1">
    <i/>
  </rowItems>
  <colItems count="1">
    <i/>
  </colItems>
  <dataFields count="1">
    <dataField name="Average of gross sales" fld="10" subtotal="average" baseField="0" baseItem="0" numFmtId="164"/>
  </dataFields>
  <formats count="2">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B60733-F8FA-4B73-835A-10735CFAB4F2}" name="PT4_count_author_c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7:C22" firstHeaderRow="1" firstDataRow="1" firstDataCol="1"/>
  <pivotFields count="16">
    <pivotField showAll="0"/>
    <pivotField showAll="0"/>
    <pivotField showAll="0">
      <items count="4">
        <item x="0"/>
        <item x="1"/>
        <item x="2"/>
        <item t="default"/>
      </items>
    </pivotField>
    <pivotField dataField="1"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items count="10">
        <item h="1" x="0"/>
        <item x="7"/>
        <item h="1" x="5"/>
        <item h="1" x="8"/>
        <item h="1" x="4"/>
        <item h="1" x="3"/>
        <item h="1" x="2"/>
        <item h="1" x="6"/>
        <item h="1" x="1"/>
        <item t="default"/>
      </items>
    </pivotField>
    <pivotField showAll="0"/>
  </pivotFields>
  <rowFields count="1">
    <field x="6"/>
  </rowFields>
  <rowItems count="5">
    <i>
      <x v="2"/>
    </i>
    <i>
      <x/>
    </i>
    <i>
      <x v="1"/>
    </i>
    <i>
      <x v="3"/>
    </i>
    <i t="grand">
      <x/>
    </i>
  </rowItems>
  <colItems count="1">
    <i/>
  </colItems>
  <dataFields count="1">
    <dataField name="Count of Book Name" fld="3" subtotal="count" baseField="0" baseItem="0"/>
  </dataFields>
  <chartFormats count="2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2"/>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2"/>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 chart="7" format="12">
      <pivotArea type="data" outline="0" fieldPosition="0">
        <references count="2">
          <reference field="4294967294" count="1" selected="0">
            <x v="0"/>
          </reference>
          <reference field="6" count="1" selected="0">
            <x v="0"/>
          </reference>
        </references>
      </pivotArea>
    </chartFormat>
    <chartFormat chart="7" format="13">
      <pivotArea type="data" outline="0" fieldPosition="0">
        <references count="2">
          <reference field="4294967294" count="1" selected="0">
            <x v="0"/>
          </reference>
          <reference field="6" count="1" selected="0">
            <x v="1"/>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6" count="1" selected="0">
            <x v="2"/>
          </reference>
        </references>
      </pivotArea>
    </chartFormat>
    <chartFormat chart="8" format="12">
      <pivotArea type="data" outline="0" fieldPosition="0">
        <references count="2">
          <reference field="4294967294" count="1" selected="0">
            <x v="0"/>
          </reference>
          <reference field="6" count="1" selected="0">
            <x v="0"/>
          </reference>
        </references>
      </pivotArea>
    </chartFormat>
    <chartFormat chart="8" format="13">
      <pivotArea type="data" outline="0" fieldPosition="0">
        <references count="2">
          <reference field="4294967294" count="1" selected="0">
            <x v="0"/>
          </reference>
          <reference field="6" count="1" selected="0">
            <x v="1"/>
          </reference>
        </references>
      </pivotArea>
    </chartFormat>
    <chartFormat chart="8"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2DF5C2-37A0-4E1D-A576-4AF97CF1740E}" name="PT_unique_autho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A64" firstHeaderRow="1" firstDataRow="1" firstDataCol="1"/>
  <pivotFields count="16">
    <pivotField showAll="0"/>
    <pivotField showAll="0"/>
    <pivotField showAll="0">
      <items count="4">
        <item x="0"/>
        <item x="1"/>
        <item x="2"/>
        <item t="default"/>
      </items>
    </pivotField>
    <pivotField showAll="0"/>
    <pivotField axis="axisRow" showAll="0">
      <items count="7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showAll="0">
      <items count="10">
        <item h="1" x="0"/>
        <item x="7"/>
        <item h="1" x="5"/>
        <item h="1" x="8"/>
        <item h="1" x="4"/>
        <item h="1" x="3"/>
        <item h="1" x="2"/>
        <item h="1" x="6"/>
        <item h="1" x="1"/>
        <item t="default"/>
      </items>
    </pivotField>
    <pivotField showAll="0"/>
  </pivotFields>
  <rowFields count="1">
    <field x="4"/>
  </rowFields>
  <rowItems count="61">
    <i>
      <x v="15"/>
    </i>
    <i>
      <x v="17"/>
    </i>
    <i>
      <x v="19"/>
    </i>
    <i>
      <x v="23"/>
    </i>
    <i>
      <x v="45"/>
    </i>
    <i>
      <x v="74"/>
    </i>
    <i>
      <x v="95"/>
    </i>
    <i>
      <x v="112"/>
    </i>
    <i>
      <x v="115"/>
    </i>
    <i>
      <x v="129"/>
    </i>
    <i>
      <x v="140"/>
    </i>
    <i>
      <x v="144"/>
    </i>
    <i>
      <x v="148"/>
    </i>
    <i>
      <x v="149"/>
    </i>
    <i>
      <x v="160"/>
    </i>
    <i>
      <x v="172"/>
    </i>
    <i>
      <x v="173"/>
    </i>
    <i>
      <x v="176"/>
    </i>
    <i>
      <x v="177"/>
    </i>
    <i>
      <x v="191"/>
    </i>
    <i>
      <x v="197"/>
    </i>
    <i>
      <x v="256"/>
    </i>
    <i>
      <x v="267"/>
    </i>
    <i>
      <x v="290"/>
    </i>
    <i>
      <x v="299"/>
    </i>
    <i>
      <x v="309"/>
    </i>
    <i>
      <x v="313"/>
    </i>
    <i>
      <x v="347"/>
    </i>
    <i>
      <x v="350"/>
    </i>
    <i>
      <x v="361"/>
    </i>
    <i>
      <x v="374"/>
    </i>
    <i>
      <x v="389"/>
    </i>
    <i>
      <x v="391"/>
    </i>
    <i>
      <x v="404"/>
    </i>
    <i>
      <x v="476"/>
    </i>
    <i>
      <x v="497"/>
    </i>
    <i>
      <x v="500"/>
    </i>
    <i>
      <x v="502"/>
    </i>
    <i>
      <x v="503"/>
    </i>
    <i>
      <x v="504"/>
    </i>
    <i>
      <x v="518"/>
    </i>
    <i>
      <x v="528"/>
    </i>
    <i>
      <x v="546"/>
    </i>
    <i>
      <x v="548"/>
    </i>
    <i>
      <x v="555"/>
    </i>
    <i>
      <x v="566"/>
    </i>
    <i>
      <x v="578"/>
    </i>
    <i>
      <x v="593"/>
    </i>
    <i>
      <x v="610"/>
    </i>
    <i>
      <x v="615"/>
    </i>
    <i>
      <x v="627"/>
    </i>
    <i>
      <x v="639"/>
    </i>
    <i>
      <x v="654"/>
    </i>
    <i>
      <x v="655"/>
    </i>
    <i>
      <x v="656"/>
    </i>
    <i>
      <x v="674"/>
    </i>
    <i>
      <x v="676"/>
    </i>
    <i>
      <x v="679"/>
    </i>
    <i>
      <x v="696"/>
    </i>
    <i>
      <x v="711"/>
    </i>
    <i>
      <x v="71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DEEBA6-8A1A-438A-B5F0-463E40D1F782}" name="PT_Unique_Publish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29:A730" firstHeaderRow="1" firstDataRow="1" firstDataCol="1"/>
  <pivotFields count="1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axis="axisRow" showAll="0">
      <items count="10">
        <item h="1" x="0"/>
        <item x="7"/>
        <item h="1" x="5"/>
        <item h="1" x="8"/>
        <item h="1" x="4"/>
        <item h="1" x="3"/>
        <item h="1" x="2"/>
        <item h="1" x="6"/>
        <item h="1" x="1"/>
        <item t="default"/>
      </items>
    </pivotField>
    <pivotField showAll="0"/>
  </pivotFields>
  <rowFields count="1">
    <field x="14"/>
  </rowFields>
  <rowItems count="1">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ing_era" xr10:uid="{0C998EE9-462B-4372-BF45-6B8BEE6546E4}" sourceName="publishing era">
  <pivotTables>
    <pivotTable tabId="6" name="PT5_reader_insights"/>
    <pivotTable tabId="6" name="PT1_total_book"/>
    <pivotTable tabId="6" name="PT2_avg_gross_sales"/>
    <pivotTable tabId="6" name="PT3_avg_unit_sold"/>
    <pivotTable tabId="6" name="PT4_count_author_cat"/>
    <pivotTable tabId="6" name="PT7_commercial_perf"/>
    <pivotTable tabId="6" name="PT8_avg_sale_price"/>
    <pivotTable tabId="8" name="PT_unique_author"/>
    <pivotTable tabId="8" name="PT_Unique_Publisher"/>
  </pivotTables>
  <data>
    <tabular pivotCacheId="16926949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AE02ADF-6784-4401-B118-5213BBB4388B}" sourceName="genre">
  <pivotTables>
    <pivotTable tabId="6" name="PT5_reader_insights"/>
    <pivotTable tabId="6" name="PT1_total_book"/>
    <pivotTable tabId="6" name="PT2_avg_gross_sales"/>
    <pivotTable tabId="6" name="PT3_avg_unit_sold"/>
    <pivotTable tabId="6" name="PT4_count_author_cat"/>
    <pivotTable tabId="6" name="PT7_commercial_perf"/>
    <pivotTable tabId="6" name="PT8_avg_sale_price"/>
    <pivotTable tabId="8" name="PT_unique_author"/>
    <pivotTable tabId="8" name="PT_Unique_Publisher"/>
  </pivotTables>
  <data>
    <tabular pivotCacheId="169269494">
      <items count="4">
        <i x="2" s="1"/>
        <i x="0"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3C0CCE4D-0D1B-4288-A8CB-FEEA5EBE4F56}" sourceName="Publisher ">
  <pivotTables>
    <pivotTable tabId="6" name="PT5_reader_insights"/>
    <pivotTable tabId="6" name="PT1_total_book"/>
    <pivotTable tabId="6" name="PT2_avg_gross_sales"/>
    <pivotTable tabId="6" name="PT3_avg_unit_sold"/>
    <pivotTable tabId="6" name="PT4_count_author_cat"/>
    <pivotTable tabId="6" name="PT7_commercial_perf"/>
    <pivotTable tabId="6" name="PT8_avg_sale_price"/>
    <pivotTable tabId="8" name="PT_unique_author"/>
    <pivotTable tabId="8" name="PT_Unique_Publisher"/>
  </pivotTables>
  <data>
    <tabular pivotCacheId="169269494">
      <items count="9">
        <i x="0"/>
        <i x="7" s="1"/>
        <i x="5"/>
        <i x="8"/>
        <i x="4"/>
        <i x="3"/>
        <i x="2"/>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shing era" xr10:uid="{EDC6EAF2-42C1-48BC-A18F-9EA34E282B4F}" cache="Slicer_publishing_era" caption="Publishing Era" style="SlicerStyleDark5" rowHeight="457200"/>
  <slicer name="Genre" xr10:uid="{67F30F45-5780-4CB3-B3A6-78EA1E682810}" cache="Slicer_genre" caption="Genre" style="SlicerStyleDark5" rowHeight="457200"/>
  <slicer name="Publisher " xr10:uid="{6E415F14-C42F-4A8A-919D-8304FEE7AB7A}" cache="Slicer_Publisher" caption="Publisher " style="SlicerStyleDark5"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C4D947-1F59-4AA4-8883-54D589994DF9}" name="book_sales" displayName="book_sales" ref="A1:P1048" totalsRowShown="0">
  <autoFilter ref="A1:P1048" xr:uid="{B0C4D947-1F59-4AA4-8883-54D589994DF9}"/>
  <sortState xmlns:xlrd2="http://schemas.microsoft.com/office/spreadsheetml/2017/richdata2" ref="A2:P1048">
    <sortCondition ref="E1:E1048"/>
  </sortState>
  <tableColumns count="16">
    <tableColumn id="1" xr3:uid="{BC2CB971-F6CD-4FAF-8D81-4C850F15FCEE}" name="index"/>
    <tableColumn id="2" xr3:uid="{86254097-8A96-4B85-863C-C4570228BA21}" name="Publishing Year"/>
    <tableColumn id="16" xr3:uid="{83B24F67-B726-48E9-919F-410FDCF11AB6}" name="publishing era" dataDxfId="21">
      <calculatedColumnFormula>IF(book_sales[[#This Row],[Publishing Year]]&lt;1900,"Classic (Before 1900)",IF(book_sales[[#This Row],[Publishing Year]]&lt;2000,"20th Century (1900-1999)","21st Century (2000+)"))</calculatedColumnFormula>
    </tableColumn>
    <tableColumn id="3" xr3:uid="{272BB778-5BE4-4841-9F5A-813BC94F3A42}" name="Book Name"/>
    <tableColumn id="4" xr3:uid="{2CFF4A8C-8B25-4A94-B2A1-324A72D7C3A4}" name="Author"/>
    <tableColumn id="5" xr3:uid="{3CFF3125-5524-4A5D-A868-13FC83777C23}" name="language_code"/>
    <tableColumn id="6" xr3:uid="{172C936F-0F0A-451C-B47D-E3F2C8A8368A}" name="Author_Rating"/>
    <tableColumn id="7" xr3:uid="{B1962797-6BE2-4496-ADFA-05611490BBD8}" name="Book_average_rating"/>
    <tableColumn id="8" xr3:uid="{8DC32BAC-6ECD-4DD5-A93C-8FEE19AF9664}" name="Book_ratings_count"/>
    <tableColumn id="9" xr3:uid="{7EBD8984-AF3F-4A17-9571-AC3F5964DFCF}" name="genre"/>
    <tableColumn id="10" xr3:uid="{EDA1A839-CAFE-4927-B0C1-AC6A6C5EED57}" name="gross sales"/>
    <tableColumn id="11" xr3:uid="{EA0911F9-F7AB-44C6-97FE-9BF4B12C4453}" name="publisher revenue"/>
    <tableColumn id="12" xr3:uid="{87DBFA66-916F-4AAA-982E-69CB03134E86}" name="sale price"/>
    <tableColumn id="13" xr3:uid="{7DF245D2-2EEB-4539-A29B-30725AEFBC29}" name="sales rank"/>
    <tableColumn id="14" xr3:uid="{B4525DF1-782A-42AC-B16E-7FEEC2C7B6F0}" name="Publisher "/>
    <tableColumn id="15" xr3:uid="{3A6301F3-63A5-4745-A418-81ECF2FAD37A}" name="units sold"/>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F4AC1-C2A7-49A5-9644-CEC37C3CD665}" name="Table2" displayName="Table2" ref="B2:B7" totalsRowShown="0">
  <autoFilter ref="B2:B7" xr:uid="{CE7F4AC1-C2A7-49A5-9644-CEC37C3CD665}"/>
  <tableColumns count="1">
    <tableColumn id="1" xr3:uid="{D928BDE8-24D5-4AC3-AB61-E0F5B4210A37}" name="Dashboard El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DC36C-FA83-4F00-88E1-8BF2341DBEB7}">
  <dimension ref="A1:P1048"/>
  <sheetViews>
    <sheetView tabSelected="1" topLeftCell="D1" workbookViewId="0">
      <selection activeCell="F13" sqref="F13"/>
    </sheetView>
  </sheetViews>
  <sheetFormatPr defaultRowHeight="14.5" x14ac:dyDescent="0.35"/>
  <cols>
    <col min="2" max="2" width="15.54296875" customWidth="1"/>
    <col min="3" max="3" width="22.54296875" customWidth="1"/>
    <col min="4" max="4" width="63.1796875" customWidth="1"/>
    <col min="5" max="5" width="15.26953125" customWidth="1"/>
    <col min="6" max="6" width="15" customWidth="1"/>
    <col min="7" max="7" width="20.54296875" customWidth="1"/>
    <col min="8" max="8" width="19.6328125" customWidth="1"/>
    <col min="9" max="9" width="21.26953125" customWidth="1"/>
    <col min="10" max="10" width="11.7265625" customWidth="1"/>
    <col min="11" max="11" width="12" bestFit="1" customWidth="1"/>
    <col min="12" max="12" width="18.26953125" bestFit="1" customWidth="1"/>
    <col min="13" max="13" width="11.1796875" customWidth="1"/>
    <col min="14" max="14" width="11.08984375" customWidth="1"/>
    <col min="15" max="15" width="10.90625" customWidth="1"/>
  </cols>
  <sheetData>
    <row r="1" spans="1:16" x14ac:dyDescent="0.35">
      <c r="A1" t="s">
        <v>0</v>
      </c>
      <c r="B1" t="s">
        <v>1</v>
      </c>
      <c r="C1" t="s">
        <v>1806</v>
      </c>
      <c r="D1" t="s">
        <v>2</v>
      </c>
      <c r="E1" t="s">
        <v>3</v>
      </c>
      <c r="F1" t="s">
        <v>4</v>
      </c>
      <c r="G1" t="s">
        <v>5</v>
      </c>
      <c r="H1" t="s">
        <v>6</v>
      </c>
      <c r="I1" t="s">
        <v>7</v>
      </c>
      <c r="J1" t="s">
        <v>8</v>
      </c>
      <c r="K1" t="s">
        <v>9</v>
      </c>
      <c r="L1" t="s">
        <v>10</v>
      </c>
      <c r="M1" t="s">
        <v>11</v>
      </c>
      <c r="N1" t="s">
        <v>12</v>
      </c>
      <c r="O1" t="s">
        <v>13</v>
      </c>
      <c r="P1" t="s">
        <v>14</v>
      </c>
    </row>
    <row r="2" spans="1:16" x14ac:dyDescent="0.35">
      <c r="A2">
        <v>1014</v>
      </c>
      <c r="B2">
        <v>1928</v>
      </c>
      <c r="C2" t="str">
        <f>IF(book_sales[[#This Row],[Publishing Year]]&lt;1900,"Classic (Before 1900)",IF(book_sales[[#This Row],[Publishing Year]]&lt;2000,"20th Century (1900-1999)","21st Century (2000+)"))</f>
        <v>20th Century (1900-1999)</v>
      </c>
      <c r="D2" t="s">
        <v>1719</v>
      </c>
      <c r="E2" t="s">
        <v>1720</v>
      </c>
      <c r="F2" t="s">
        <v>17</v>
      </c>
      <c r="G2" t="s">
        <v>532</v>
      </c>
      <c r="H2">
        <v>4.3600000000000003</v>
      </c>
      <c r="I2">
        <v>69102</v>
      </c>
      <c r="J2" t="s">
        <v>19</v>
      </c>
      <c r="K2">
        <v>214.92</v>
      </c>
      <c r="L2">
        <v>0</v>
      </c>
      <c r="M2">
        <v>1.99</v>
      </c>
      <c r="N2">
        <v>1199</v>
      </c>
      <c r="O2" t="s">
        <v>27</v>
      </c>
      <c r="P2">
        <v>108</v>
      </c>
    </row>
    <row r="3" spans="1:16" x14ac:dyDescent="0.35">
      <c r="A3">
        <v>775</v>
      </c>
      <c r="B3">
        <v>2013</v>
      </c>
      <c r="C3" t="str">
        <f>IF(book_sales[[#This Row],[Publishing Year]]&lt;1900,"Classic (Before 1900)",IF(book_sales[[#This Row],[Publishing Year]]&lt;2000,"20th Century (1900-1999)","21st Century (2000+)"))</f>
        <v>21st Century (2000+)</v>
      </c>
      <c r="D3" t="s">
        <v>1359</v>
      </c>
      <c r="E3" t="s">
        <v>1360</v>
      </c>
      <c r="F3" t="s">
        <v>23</v>
      </c>
      <c r="G3" t="s">
        <v>18</v>
      </c>
      <c r="H3">
        <v>3.3</v>
      </c>
      <c r="I3">
        <v>60323</v>
      </c>
      <c r="J3" t="s">
        <v>41</v>
      </c>
      <c r="K3">
        <v>784.16</v>
      </c>
      <c r="L3">
        <v>470.49599999999998</v>
      </c>
      <c r="M3">
        <v>6.76</v>
      </c>
      <c r="N3">
        <v>897</v>
      </c>
      <c r="O3" t="s">
        <v>27</v>
      </c>
      <c r="P3">
        <v>28728</v>
      </c>
    </row>
    <row r="4" spans="1:16" x14ac:dyDescent="0.35">
      <c r="A4">
        <v>841</v>
      </c>
      <c r="B4">
        <v>2012</v>
      </c>
      <c r="C4" t="str">
        <f>IF(book_sales[[#This Row],[Publishing Year]]&lt;1900,"Classic (Before 1900)",IF(book_sales[[#This Row],[Publishing Year]]&lt;2000,"20th Century (1900-1999)","21st Century (2000+)"))</f>
        <v>21st Century (2000+)</v>
      </c>
      <c r="D4" t="s">
        <v>1456</v>
      </c>
      <c r="E4" t="s">
        <v>1457</v>
      </c>
      <c r="F4" t="s">
        <v>1458</v>
      </c>
      <c r="G4" t="s">
        <v>24</v>
      </c>
      <c r="H4">
        <v>3.8</v>
      </c>
      <c r="I4">
        <v>53187</v>
      </c>
      <c r="J4" t="s">
        <v>41</v>
      </c>
      <c r="K4">
        <v>1128.8699999999999</v>
      </c>
      <c r="L4">
        <v>677.322</v>
      </c>
      <c r="M4">
        <v>9.99</v>
      </c>
      <c r="N4">
        <v>984</v>
      </c>
      <c r="O4" t="s">
        <v>27</v>
      </c>
      <c r="P4">
        <v>2889</v>
      </c>
    </row>
    <row r="5" spans="1:16" x14ac:dyDescent="0.35">
      <c r="A5">
        <v>944</v>
      </c>
      <c r="B5">
        <v>2012</v>
      </c>
      <c r="C5" t="str">
        <f>IF(book_sales[[#This Row],[Publishing Year]]&lt;1900,"Classic (Before 1900)",IF(book_sales[[#This Row],[Publishing Year]]&lt;2000,"20th Century (1900-1999)","21st Century (2000+)"))</f>
        <v>21st Century (2000+)</v>
      </c>
      <c r="D5" t="s">
        <v>1612</v>
      </c>
      <c r="E5" t="s">
        <v>1613</v>
      </c>
      <c r="F5" t="s">
        <v>1458</v>
      </c>
      <c r="G5" t="s">
        <v>24</v>
      </c>
      <c r="H5">
        <v>3.72</v>
      </c>
      <c r="I5">
        <v>42958</v>
      </c>
      <c r="J5" t="s">
        <v>41</v>
      </c>
      <c r="K5">
        <v>1200.0999999999999</v>
      </c>
      <c r="L5">
        <v>720.06</v>
      </c>
      <c r="M5">
        <v>10.91</v>
      </c>
      <c r="N5">
        <v>1107</v>
      </c>
      <c r="O5" t="s">
        <v>66</v>
      </c>
      <c r="P5">
        <v>4320</v>
      </c>
    </row>
    <row r="6" spans="1:16" x14ac:dyDescent="0.35">
      <c r="A6">
        <v>281</v>
      </c>
      <c r="B6">
        <v>2012</v>
      </c>
      <c r="C6" t="str">
        <f>IF(book_sales[[#This Row],[Publishing Year]]&lt;1900,"Classic (Before 1900)",IF(book_sales[[#This Row],[Publishing Year]]&lt;2000,"20th Century (1900-1999)","21st Century (2000+)"))</f>
        <v>21st Century (2000+)</v>
      </c>
      <c r="D6" t="s">
        <v>535</v>
      </c>
      <c r="E6" t="s">
        <v>536</v>
      </c>
      <c r="F6" t="s">
        <v>23</v>
      </c>
      <c r="G6" t="s">
        <v>532</v>
      </c>
      <c r="H6">
        <v>4.21</v>
      </c>
      <c r="I6">
        <v>138871</v>
      </c>
      <c r="J6" t="s">
        <v>19</v>
      </c>
      <c r="K6">
        <v>2875.32</v>
      </c>
      <c r="L6">
        <v>1725.192</v>
      </c>
      <c r="M6">
        <v>8.82</v>
      </c>
      <c r="N6">
        <v>304</v>
      </c>
      <c r="O6" t="s">
        <v>34</v>
      </c>
      <c r="P6">
        <v>326</v>
      </c>
    </row>
    <row r="7" spans="1:16" x14ac:dyDescent="0.35">
      <c r="A7">
        <v>764</v>
      </c>
      <c r="B7">
        <v>2013</v>
      </c>
      <c r="C7" t="str">
        <f>IF(book_sales[[#This Row],[Publishing Year]]&lt;1900,"Classic (Before 1900)",IF(book_sales[[#This Row],[Publishing Year]]&lt;2000,"20th Century (1900-1999)","21st Century (2000+)"))</f>
        <v>21st Century (2000+)</v>
      </c>
      <c r="D7" t="s">
        <v>1342</v>
      </c>
      <c r="E7" t="s">
        <v>536</v>
      </c>
      <c r="F7" t="s">
        <v>23</v>
      </c>
      <c r="G7" t="s">
        <v>532</v>
      </c>
      <c r="H7">
        <v>4.21</v>
      </c>
      <c r="I7">
        <v>97616</v>
      </c>
      <c r="J7" t="s">
        <v>19</v>
      </c>
      <c r="K7">
        <v>114.84</v>
      </c>
      <c r="L7">
        <v>68.903999999999996</v>
      </c>
      <c r="M7">
        <v>0.99</v>
      </c>
      <c r="N7">
        <v>884</v>
      </c>
      <c r="O7" t="s">
        <v>27</v>
      </c>
      <c r="P7">
        <v>30456</v>
      </c>
    </row>
    <row r="8" spans="1:16" x14ac:dyDescent="0.35">
      <c r="A8">
        <v>931</v>
      </c>
      <c r="B8">
        <v>2012</v>
      </c>
      <c r="C8" t="str">
        <f>IF(book_sales[[#This Row],[Publishing Year]]&lt;1900,"Classic (Before 1900)",IF(book_sales[[#This Row],[Publishing Year]]&lt;2000,"20th Century (1900-1999)","21st Century (2000+)"))</f>
        <v>21st Century (2000+)</v>
      </c>
      <c r="D8" t="s">
        <v>1589</v>
      </c>
      <c r="E8" t="s">
        <v>1590</v>
      </c>
      <c r="F8" t="s">
        <v>23</v>
      </c>
      <c r="G8" t="s">
        <v>532</v>
      </c>
      <c r="H8">
        <v>4.0599999999999996</v>
      </c>
      <c r="I8">
        <v>52765</v>
      </c>
      <c r="J8" t="s">
        <v>19</v>
      </c>
      <c r="K8">
        <v>108.9</v>
      </c>
      <c r="L8">
        <v>65.34</v>
      </c>
      <c r="M8">
        <v>0.99</v>
      </c>
      <c r="N8">
        <v>1097</v>
      </c>
      <c r="O8" t="s">
        <v>133</v>
      </c>
      <c r="P8">
        <v>4320</v>
      </c>
    </row>
    <row r="9" spans="1:16" x14ac:dyDescent="0.35">
      <c r="A9">
        <v>800</v>
      </c>
      <c r="B9">
        <v>2011</v>
      </c>
      <c r="C9" t="str">
        <f>IF(book_sales[[#This Row],[Publishing Year]]&lt;1900,"Classic (Before 1900)",IF(book_sales[[#This Row],[Publishing Year]]&lt;2000,"20th Century (1900-1999)","21st Century (2000+)"))</f>
        <v>21st Century (2000+)</v>
      </c>
      <c r="D9" t="s">
        <v>1404</v>
      </c>
      <c r="E9" t="s">
        <v>1405</v>
      </c>
      <c r="F9" t="s">
        <v>23</v>
      </c>
      <c r="G9" t="s">
        <v>532</v>
      </c>
      <c r="H9">
        <v>4.26</v>
      </c>
      <c r="I9">
        <v>71816</v>
      </c>
      <c r="J9" t="s">
        <v>19</v>
      </c>
      <c r="K9">
        <v>113.85</v>
      </c>
      <c r="L9">
        <v>68.31</v>
      </c>
      <c r="M9">
        <v>0.99</v>
      </c>
      <c r="N9">
        <v>930</v>
      </c>
      <c r="O9" t="s">
        <v>27</v>
      </c>
      <c r="P9">
        <v>2916</v>
      </c>
    </row>
    <row r="10" spans="1:16" x14ac:dyDescent="0.35">
      <c r="A10">
        <v>589</v>
      </c>
      <c r="B10">
        <v>-560</v>
      </c>
      <c r="C10" t="str">
        <f>IF(book_sales[[#This Row],[Publishing Year]]&lt;1900,"Classic (Before 1900)",IF(book_sales[[#This Row],[Publishing Year]]&lt;2000,"20th Century (1900-1999)","21st Century (2000+)"))</f>
        <v>Classic (Before 1900)</v>
      </c>
      <c r="D10" t="s">
        <v>1061</v>
      </c>
      <c r="E10" t="s">
        <v>1062</v>
      </c>
      <c r="F10" t="s">
        <v>23</v>
      </c>
      <c r="G10" t="s">
        <v>532</v>
      </c>
      <c r="H10">
        <v>4.05</v>
      </c>
      <c r="I10">
        <v>88508</v>
      </c>
      <c r="J10" t="s">
        <v>19</v>
      </c>
      <c r="K10">
        <v>693.61</v>
      </c>
      <c r="L10">
        <v>0</v>
      </c>
      <c r="M10">
        <v>4.99</v>
      </c>
      <c r="N10">
        <v>663</v>
      </c>
      <c r="O10" t="s">
        <v>27</v>
      </c>
      <c r="P10">
        <v>53784</v>
      </c>
    </row>
    <row r="11" spans="1:16" x14ac:dyDescent="0.35">
      <c r="A11">
        <v>141</v>
      </c>
      <c r="B11">
        <v>1934</v>
      </c>
      <c r="C11" t="str">
        <f>IF(book_sales[[#This Row],[Publishing Year]]&lt;1900,"Classic (Before 1900)",IF(book_sales[[#This Row],[Publishing Year]]&lt;2000,"20th Century (1900-1999)","21st Century (2000+)"))</f>
        <v>20th Century (1900-1999)</v>
      </c>
      <c r="D11" t="s">
        <v>292</v>
      </c>
      <c r="E11" t="s">
        <v>293</v>
      </c>
      <c r="F11" t="s">
        <v>23</v>
      </c>
      <c r="G11" t="s">
        <v>24</v>
      </c>
      <c r="H11">
        <v>4.16</v>
      </c>
      <c r="I11">
        <v>138444</v>
      </c>
      <c r="J11" t="s">
        <v>19</v>
      </c>
      <c r="K11">
        <v>3742.5</v>
      </c>
      <c r="L11">
        <v>0</v>
      </c>
      <c r="M11">
        <v>4.99</v>
      </c>
      <c r="N11">
        <v>150</v>
      </c>
      <c r="O11" t="s">
        <v>27</v>
      </c>
      <c r="P11">
        <v>750</v>
      </c>
    </row>
    <row r="12" spans="1:16" x14ac:dyDescent="0.35">
      <c r="A12">
        <v>527</v>
      </c>
      <c r="B12">
        <v>1930</v>
      </c>
      <c r="C12" t="str">
        <f>IF(book_sales[[#This Row],[Publishing Year]]&lt;1900,"Classic (Before 1900)",IF(book_sales[[#This Row],[Publishing Year]]&lt;2000,"20th Century (1900-1999)","21st Century (2000+)"))</f>
        <v>20th Century (1900-1999)</v>
      </c>
      <c r="D12" t="s">
        <v>958</v>
      </c>
      <c r="E12" t="s">
        <v>293</v>
      </c>
      <c r="F12" t="s">
        <v>23</v>
      </c>
      <c r="G12" t="s">
        <v>532</v>
      </c>
      <c r="H12">
        <v>4.03</v>
      </c>
      <c r="I12">
        <v>93963</v>
      </c>
      <c r="J12" t="s">
        <v>41</v>
      </c>
      <c r="K12">
        <v>669.24</v>
      </c>
      <c r="L12">
        <v>401.54399999999998</v>
      </c>
      <c r="M12">
        <v>4.29</v>
      </c>
      <c r="N12">
        <v>586</v>
      </c>
      <c r="O12" t="s">
        <v>376</v>
      </c>
      <c r="P12">
        <v>4212</v>
      </c>
    </row>
    <row r="13" spans="1:16" x14ac:dyDescent="0.35">
      <c r="A13">
        <v>879</v>
      </c>
      <c r="B13">
        <v>1926</v>
      </c>
      <c r="C13" t="str">
        <f>IF(book_sales[[#This Row],[Publishing Year]]&lt;1900,"Classic (Before 1900)",IF(book_sales[[#This Row],[Publishing Year]]&lt;2000,"20th Century (1900-1999)","21st Century (2000+)"))</f>
        <v>20th Century (1900-1999)</v>
      </c>
      <c r="D13" t="s">
        <v>1512</v>
      </c>
      <c r="E13" t="s">
        <v>293</v>
      </c>
      <c r="F13" t="s">
        <v>23</v>
      </c>
      <c r="G13" t="s">
        <v>532</v>
      </c>
      <c r="H13">
        <v>4.2</v>
      </c>
      <c r="I13">
        <v>71354</v>
      </c>
      <c r="J13" t="s">
        <v>41</v>
      </c>
      <c r="K13">
        <v>842.24</v>
      </c>
      <c r="L13">
        <v>505.34399999999999</v>
      </c>
      <c r="M13">
        <v>7.52</v>
      </c>
      <c r="N13">
        <v>1032</v>
      </c>
      <c r="O13" t="s">
        <v>27</v>
      </c>
      <c r="P13">
        <v>4440</v>
      </c>
    </row>
    <row r="14" spans="1:16" x14ac:dyDescent="0.35">
      <c r="A14">
        <v>140</v>
      </c>
      <c r="B14">
        <v>1920</v>
      </c>
      <c r="C14" t="str">
        <f>IF(book_sales[[#This Row],[Publishing Year]]&lt;1900,"Classic (Before 1900)",IF(book_sales[[#This Row],[Publishing Year]]&lt;2000,"20th Century (1900-1999)","21st Century (2000+)"))</f>
        <v>20th Century (1900-1999)</v>
      </c>
      <c r="D14" t="s">
        <v>290</v>
      </c>
      <c r="E14" t="s">
        <v>291</v>
      </c>
      <c r="F14" t="s">
        <v>23</v>
      </c>
      <c r="G14" t="s">
        <v>24</v>
      </c>
      <c r="H14">
        <v>3.98</v>
      </c>
      <c r="I14">
        <v>135514</v>
      </c>
      <c r="J14" t="s">
        <v>19</v>
      </c>
      <c r="K14">
        <v>3012.45</v>
      </c>
      <c r="L14">
        <v>0</v>
      </c>
      <c r="M14">
        <v>3.99</v>
      </c>
      <c r="N14">
        <v>149</v>
      </c>
      <c r="O14" t="s">
        <v>27</v>
      </c>
      <c r="P14">
        <v>755</v>
      </c>
    </row>
    <row r="15" spans="1:16" x14ac:dyDescent="0.35">
      <c r="A15">
        <v>493</v>
      </c>
      <c r="B15">
        <v>2009</v>
      </c>
      <c r="C15" t="str">
        <f>IF(book_sales[[#This Row],[Publishing Year]]&lt;1900,"Classic (Before 1900)",IF(book_sales[[#This Row],[Publishing Year]]&lt;2000,"20th Century (1900-1999)","21st Century (2000+)"))</f>
        <v>21st Century (2000+)</v>
      </c>
      <c r="D15" t="s">
        <v>902</v>
      </c>
      <c r="E15" t="s">
        <v>903</v>
      </c>
      <c r="F15" t="s">
        <v>23</v>
      </c>
      <c r="G15" t="s">
        <v>24</v>
      </c>
      <c r="H15">
        <v>3.81</v>
      </c>
      <c r="I15">
        <v>99841</v>
      </c>
      <c r="J15" t="s">
        <v>19</v>
      </c>
      <c r="K15">
        <v>1757.25</v>
      </c>
      <c r="L15">
        <v>1054.3499999999999</v>
      </c>
      <c r="M15">
        <v>10.65</v>
      </c>
      <c r="N15">
        <v>545</v>
      </c>
      <c r="O15" t="s">
        <v>34</v>
      </c>
      <c r="P15">
        <v>4455</v>
      </c>
    </row>
    <row r="16" spans="1:16" x14ac:dyDescent="0.35">
      <c r="A16">
        <v>685</v>
      </c>
      <c r="B16">
        <v>2003</v>
      </c>
      <c r="C16" t="str">
        <f>IF(book_sales[[#This Row],[Publishing Year]]&lt;1900,"Classic (Before 1900)",IF(book_sales[[#This Row],[Publishing Year]]&lt;2000,"20th Century (1900-1999)","21st Century (2000+)"))</f>
        <v>21st Century (2000+)</v>
      </c>
      <c r="D16" t="s">
        <v>1219</v>
      </c>
      <c r="E16" t="s">
        <v>1220</v>
      </c>
      <c r="F16" t="s">
        <v>17</v>
      </c>
      <c r="G16" t="s">
        <v>532</v>
      </c>
      <c r="H16">
        <v>4.1500000000000004</v>
      </c>
      <c r="I16">
        <v>75307</v>
      </c>
      <c r="J16" t="s">
        <v>41</v>
      </c>
      <c r="K16">
        <v>950.81</v>
      </c>
      <c r="L16">
        <v>570.48599999999999</v>
      </c>
      <c r="M16">
        <v>7.99</v>
      </c>
      <c r="N16">
        <v>787</v>
      </c>
      <c r="O16" t="s">
        <v>578</v>
      </c>
      <c r="P16">
        <v>36720</v>
      </c>
    </row>
    <row r="17" spans="1:16" x14ac:dyDescent="0.35">
      <c r="A17">
        <v>204</v>
      </c>
      <c r="B17">
        <v>1988</v>
      </c>
      <c r="C17" t="str">
        <f>IF(book_sales[[#This Row],[Publishing Year]]&lt;1900,"Classic (Before 1900)",IF(book_sales[[#This Row],[Publishing Year]]&lt;2000,"20th Century (1900-1999)","21st Century (2000+)"))</f>
        <v>20th Century (1900-1999)</v>
      </c>
      <c r="D17" t="s">
        <v>400</v>
      </c>
      <c r="E17" t="s">
        <v>401</v>
      </c>
      <c r="F17" t="s">
        <v>23</v>
      </c>
      <c r="G17" t="s">
        <v>24</v>
      </c>
      <c r="H17">
        <v>4.3600000000000003</v>
      </c>
      <c r="I17">
        <v>113855</v>
      </c>
      <c r="J17" t="s">
        <v>19</v>
      </c>
      <c r="K17">
        <v>455.4</v>
      </c>
      <c r="L17">
        <v>273.24</v>
      </c>
      <c r="M17">
        <v>0.99</v>
      </c>
      <c r="N17">
        <v>224</v>
      </c>
      <c r="O17" t="s">
        <v>46</v>
      </c>
      <c r="P17">
        <v>460</v>
      </c>
    </row>
    <row r="18" spans="1:16" x14ac:dyDescent="0.35">
      <c r="A18">
        <v>341</v>
      </c>
      <c r="B18">
        <v>1947</v>
      </c>
      <c r="C18" t="str">
        <f>IF(book_sales[[#This Row],[Publishing Year]]&lt;1900,"Classic (Before 1900)",IF(book_sales[[#This Row],[Publishing Year]]&lt;2000,"20th Century (1900-1999)","21st Century (2000+)"))</f>
        <v>20th Century (1900-1999)</v>
      </c>
      <c r="D18" t="s">
        <v>645</v>
      </c>
      <c r="E18" t="s">
        <v>646</v>
      </c>
      <c r="F18" t="s">
        <v>17</v>
      </c>
      <c r="G18" t="s">
        <v>24</v>
      </c>
      <c r="H18">
        <v>3.97</v>
      </c>
      <c r="I18">
        <v>95803</v>
      </c>
      <c r="J18" t="s">
        <v>19</v>
      </c>
      <c r="K18">
        <v>965.58</v>
      </c>
      <c r="L18">
        <v>0</v>
      </c>
      <c r="M18">
        <v>3.99</v>
      </c>
      <c r="N18">
        <v>366</v>
      </c>
      <c r="O18" t="s">
        <v>27</v>
      </c>
      <c r="P18">
        <v>242</v>
      </c>
    </row>
    <row r="19" spans="1:16" x14ac:dyDescent="0.35">
      <c r="A19">
        <v>278</v>
      </c>
      <c r="B19">
        <v>1932</v>
      </c>
      <c r="C19" t="str">
        <f>IF(book_sales[[#This Row],[Publishing Year]]&lt;1900,"Classic (Before 1900)",IF(book_sales[[#This Row],[Publishing Year]]&lt;2000,"20th Century (1900-1999)","21st Century (2000+)"))</f>
        <v>20th Century (1900-1999)</v>
      </c>
      <c r="D19" t="s">
        <v>528</v>
      </c>
      <c r="E19" t="s">
        <v>529</v>
      </c>
      <c r="F19" t="s">
        <v>23</v>
      </c>
      <c r="G19" t="s">
        <v>24</v>
      </c>
      <c r="H19">
        <v>4.16</v>
      </c>
      <c r="I19">
        <v>108124</v>
      </c>
      <c r="J19" t="s">
        <v>19</v>
      </c>
      <c r="K19">
        <v>1676.64</v>
      </c>
      <c r="L19">
        <v>0</v>
      </c>
      <c r="M19">
        <v>4.99</v>
      </c>
      <c r="N19">
        <v>298</v>
      </c>
      <c r="O19" t="s">
        <v>27</v>
      </c>
      <c r="P19">
        <v>336</v>
      </c>
    </row>
    <row r="20" spans="1:16" x14ac:dyDescent="0.35">
      <c r="A20">
        <v>987</v>
      </c>
      <c r="B20">
        <v>1962</v>
      </c>
      <c r="C20" t="str">
        <f>IF(book_sales[[#This Row],[Publishing Year]]&lt;1900,"Classic (Before 1900)",IF(book_sales[[#This Row],[Publishing Year]]&lt;2000,"20th Century (1900-1999)","21st Century (2000+)"))</f>
        <v>20th Century (1900-1999)</v>
      </c>
      <c r="D20" t="s">
        <v>1678</v>
      </c>
      <c r="E20" t="s">
        <v>1679</v>
      </c>
      <c r="F20" t="s">
        <v>23</v>
      </c>
      <c r="G20" t="s">
        <v>24</v>
      </c>
      <c r="H20">
        <v>3.94</v>
      </c>
      <c r="I20">
        <v>61678</v>
      </c>
      <c r="J20" t="s">
        <v>19</v>
      </c>
      <c r="K20">
        <v>646.91999999999996</v>
      </c>
      <c r="L20">
        <v>388.15199999999999</v>
      </c>
      <c r="M20">
        <v>5.99</v>
      </c>
      <c r="N20">
        <v>1166</v>
      </c>
      <c r="O20" t="s">
        <v>31</v>
      </c>
      <c r="P20">
        <v>108</v>
      </c>
    </row>
    <row r="21" spans="1:16" x14ac:dyDescent="0.35">
      <c r="A21">
        <v>114</v>
      </c>
      <c r="B21">
        <v>2007</v>
      </c>
      <c r="C21" t="str">
        <f>IF(book_sales[[#This Row],[Publishing Year]]&lt;1900,"Classic (Before 1900)",IF(book_sales[[#This Row],[Publishing Year]]&lt;2000,"20th Century (1900-1999)","21st Century (2000+)"))</f>
        <v>21st Century (2000+)</v>
      </c>
      <c r="D21" t="s">
        <v>243</v>
      </c>
      <c r="E21" t="s">
        <v>244</v>
      </c>
      <c r="F21" t="s">
        <v>23</v>
      </c>
      <c r="G21" t="s">
        <v>24</v>
      </c>
      <c r="H21">
        <v>3.84</v>
      </c>
      <c r="I21">
        <v>150003</v>
      </c>
      <c r="J21" t="s">
        <v>19</v>
      </c>
      <c r="K21">
        <v>895.95</v>
      </c>
      <c r="L21">
        <v>537.57000000000005</v>
      </c>
      <c r="M21">
        <v>0.99</v>
      </c>
      <c r="N21">
        <v>119</v>
      </c>
      <c r="O21" t="s">
        <v>27</v>
      </c>
      <c r="P21">
        <v>905</v>
      </c>
    </row>
    <row r="22" spans="1:16" x14ac:dyDescent="0.35">
      <c r="A22">
        <v>1055</v>
      </c>
      <c r="B22">
        <v>1996</v>
      </c>
      <c r="C22" t="str">
        <f>IF(book_sales[[#This Row],[Publishing Year]]&lt;1900,"Classic (Before 1900)",IF(book_sales[[#This Row],[Publishing Year]]&lt;2000,"20th Century (1900-1999)","21st Century (2000+)"))</f>
        <v>20th Century (1900-1999)</v>
      </c>
      <c r="D22" t="s">
        <v>1783</v>
      </c>
      <c r="E22" t="s">
        <v>1784</v>
      </c>
      <c r="F22" t="s">
        <v>23</v>
      </c>
      <c r="G22" t="s">
        <v>24</v>
      </c>
      <c r="H22">
        <v>3.91</v>
      </c>
      <c r="I22">
        <v>52333</v>
      </c>
      <c r="J22" t="s">
        <v>30</v>
      </c>
      <c r="K22">
        <v>589.36</v>
      </c>
      <c r="L22">
        <v>353.61599999999999</v>
      </c>
      <c r="M22">
        <v>5.56</v>
      </c>
      <c r="N22">
        <v>1251</v>
      </c>
      <c r="O22" t="s">
        <v>31</v>
      </c>
      <c r="P22">
        <v>106</v>
      </c>
    </row>
    <row r="23" spans="1:16" x14ac:dyDescent="0.35">
      <c r="A23">
        <v>203</v>
      </c>
      <c r="B23">
        <v>1976</v>
      </c>
      <c r="C23" t="str">
        <f>IF(book_sales[[#This Row],[Publishing Year]]&lt;1900,"Classic (Before 1900)",IF(book_sales[[#This Row],[Publishing Year]]&lt;2000,"20th Century (1900-1999)","21st Century (2000+)"))</f>
        <v>20th Century (1900-1999)</v>
      </c>
      <c r="D23" t="s">
        <v>398</v>
      </c>
      <c r="E23" t="s">
        <v>399</v>
      </c>
      <c r="F23" t="s">
        <v>17</v>
      </c>
      <c r="G23" t="s">
        <v>53</v>
      </c>
      <c r="H23">
        <v>4.42</v>
      </c>
      <c r="I23">
        <v>118951</v>
      </c>
      <c r="J23" t="s">
        <v>19</v>
      </c>
      <c r="K23">
        <v>460.35</v>
      </c>
      <c r="L23">
        <v>276.20999999999998</v>
      </c>
      <c r="M23">
        <v>0.99</v>
      </c>
      <c r="N23">
        <v>221</v>
      </c>
      <c r="O23" t="s">
        <v>133</v>
      </c>
      <c r="P23">
        <v>465</v>
      </c>
    </row>
    <row r="24" spans="1:16" x14ac:dyDescent="0.35">
      <c r="A24">
        <v>974</v>
      </c>
      <c r="B24">
        <v>2012</v>
      </c>
      <c r="C24" t="str">
        <f>IF(book_sales[[#This Row],[Publishing Year]]&lt;1900,"Classic (Before 1900)",IF(book_sales[[#This Row],[Publishing Year]]&lt;2000,"20th Century (1900-1999)","21st Century (2000+)"))</f>
        <v>21st Century (2000+)</v>
      </c>
      <c r="D24" t="s">
        <v>1656</v>
      </c>
      <c r="E24" t="s">
        <v>1657</v>
      </c>
      <c r="F24" t="s">
        <v>23</v>
      </c>
      <c r="G24" t="s">
        <v>532</v>
      </c>
      <c r="H24">
        <v>4.26</v>
      </c>
      <c r="I24">
        <v>83886</v>
      </c>
      <c r="J24" t="s">
        <v>30</v>
      </c>
      <c r="K24">
        <v>620.21</v>
      </c>
      <c r="L24">
        <v>372.12599999999998</v>
      </c>
      <c r="M24">
        <v>5.69</v>
      </c>
      <c r="N24">
        <v>1150</v>
      </c>
      <c r="O24" t="s">
        <v>31</v>
      </c>
      <c r="P24">
        <v>4240</v>
      </c>
    </row>
    <row r="25" spans="1:16" x14ac:dyDescent="0.35">
      <c r="A25">
        <v>411</v>
      </c>
      <c r="B25">
        <v>2012</v>
      </c>
      <c r="C25" t="str">
        <f>IF(book_sales[[#This Row],[Publishing Year]]&lt;1900,"Classic (Before 1900)",IF(book_sales[[#This Row],[Publishing Year]]&lt;2000,"20th Century (1900-1999)","21st Century (2000+)"))</f>
        <v>21st Century (2000+)</v>
      </c>
      <c r="D25" t="s">
        <v>772</v>
      </c>
      <c r="E25" t="s">
        <v>773</v>
      </c>
      <c r="F25" t="s">
        <v>23</v>
      </c>
      <c r="G25" t="s">
        <v>532</v>
      </c>
      <c r="H25">
        <v>4.0999999999999996</v>
      </c>
      <c r="I25">
        <v>134805</v>
      </c>
      <c r="J25" t="s">
        <v>41</v>
      </c>
      <c r="K25">
        <v>1898</v>
      </c>
      <c r="L25">
        <v>0</v>
      </c>
      <c r="M25">
        <v>9.49</v>
      </c>
      <c r="N25">
        <v>450</v>
      </c>
      <c r="O25" t="s">
        <v>27</v>
      </c>
      <c r="P25">
        <v>5400</v>
      </c>
    </row>
    <row r="26" spans="1:16" x14ac:dyDescent="0.35">
      <c r="A26">
        <v>552</v>
      </c>
      <c r="B26">
        <v>1999</v>
      </c>
      <c r="C26" t="str">
        <f>IF(book_sales[[#This Row],[Publishing Year]]&lt;1900,"Classic (Before 1900)",IF(book_sales[[#This Row],[Publishing Year]]&lt;2000,"20th Century (1900-1999)","21st Century (2000+)"))</f>
        <v>20th Century (1900-1999)</v>
      </c>
      <c r="D26" t="s">
        <v>1000</v>
      </c>
      <c r="E26" t="s">
        <v>1001</v>
      </c>
      <c r="F26" t="s">
        <v>23</v>
      </c>
      <c r="G26" t="s">
        <v>24</v>
      </c>
      <c r="H26">
        <v>3.77</v>
      </c>
      <c r="I26">
        <v>77462</v>
      </c>
      <c r="J26" t="s">
        <v>608</v>
      </c>
      <c r="K26">
        <v>1427.42</v>
      </c>
      <c r="L26">
        <v>856.452</v>
      </c>
      <c r="M26">
        <v>9.58</v>
      </c>
      <c r="N26">
        <v>617</v>
      </c>
      <c r="O26" t="s">
        <v>27</v>
      </c>
      <c r="P26">
        <v>4023</v>
      </c>
    </row>
    <row r="27" spans="1:16" x14ac:dyDescent="0.35">
      <c r="A27">
        <v>798</v>
      </c>
      <c r="B27">
        <v>1956</v>
      </c>
      <c r="C27" t="str">
        <f>IF(book_sales[[#This Row],[Publishing Year]]&lt;1900,"Classic (Before 1900)",IF(book_sales[[#This Row],[Publishing Year]]&lt;2000,"20th Century (1900-1999)","21st Century (2000+)"))</f>
        <v>20th Century (1900-1999)</v>
      </c>
      <c r="D27" t="s">
        <v>1400</v>
      </c>
      <c r="E27" t="s">
        <v>1401</v>
      </c>
      <c r="F27" t="s">
        <v>23</v>
      </c>
      <c r="G27" t="s">
        <v>532</v>
      </c>
      <c r="H27">
        <v>4.1399999999999997</v>
      </c>
      <c r="I27">
        <v>71968</v>
      </c>
      <c r="J27" t="s">
        <v>41</v>
      </c>
      <c r="K27">
        <v>1269.5999999999999</v>
      </c>
      <c r="L27">
        <v>761.76</v>
      </c>
      <c r="M27">
        <v>11.04</v>
      </c>
      <c r="N27">
        <v>926</v>
      </c>
      <c r="O27" t="s">
        <v>20</v>
      </c>
      <c r="P27">
        <v>2916</v>
      </c>
    </row>
    <row r="28" spans="1:16" x14ac:dyDescent="0.35">
      <c r="A28">
        <v>125</v>
      </c>
      <c r="B28">
        <v>2006</v>
      </c>
      <c r="C28" t="str">
        <f>IF(book_sales[[#This Row],[Publishing Year]]&lt;1900,"Classic (Before 1900)",IF(book_sales[[#This Row],[Publishing Year]]&lt;2000,"20th Century (1900-1999)","21st Century (2000+)"))</f>
        <v>21st Century (2000+)</v>
      </c>
      <c r="D28" t="s">
        <v>264</v>
      </c>
      <c r="E28" t="s">
        <v>265</v>
      </c>
      <c r="F28" t="s">
        <v>17</v>
      </c>
      <c r="G28" t="s">
        <v>24</v>
      </c>
      <c r="H28">
        <v>3.82</v>
      </c>
      <c r="I28">
        <v>150222</v>
      </c>
      <c r="J28" t="s">
        <v>19</v>
      </c>
      <c r="K28">
        <v>10131.549999999999</v>
      </c>
      <c r="L28">
        <v>6078.93</v>
      </c>
      <c r="M28">
        <v>11.99</v>
      </c>
      <c r="N28">
        <v>131</v>
      </c>
      <c r="O28" t="s">
        <v>31</v>
      </c>
      <c r="P28">
        <v>845</v>
      </c>
    </row>
    <row r="29" spans="1:16" x14ac:dyDescent="0.35">
      <c r="A29">
        <v>1019</v>
      </c>
      <c r="B29">
        <v>2010</v>
      </c>
      <c r="C29" t="str">
        <f>IF(book_sales[[#This Row],[Publishing Year]]&lt;1900,"Classic (Before 1900)",IF(book_sales[[#This Row],[Publishing Year]]&lt;2000,"20th Century (1900-1999)","21st Century (2000+)"))</f>
        <v>21st Century (2000+)</v>
      </c>
      <c r="D29" t="s">
        <v>1727</v>
      </c>
      <c r="E29" t="s">
        <v>265</v>
      </c>
      <c r="F29" t="s">
        <v>17</v>
      </c>
      <c r="G29" t="s">
        <v>24</v>
      </c>
      <c r="H29">
        <v>3.91</v>
      </c>
      <c r="I29">
        <v>75834</v>
      </c>
      <c r="J29" t="s">
        <v>19</v>
      </c>
      <c r="K29">
        <v>854.93</v>
      </c>
      <c r="L29">
        <v>512.95799999999997</v>
      </c>
      <c r="M29">
        <v>7.99</v>
      </c>
      <c r="N29">
        <v>1201</v>
      </c>
      <c r="O29" t="s">
        <v>46</v>
      </c>
      <c r="P29">
        <v>107</v>
      </c>
    </row>
    <row r="30" spans="1:16" x14ac:dyDescent="0.35">
      <c r="A30">
        <v>124</v>
      </c>
      <c r="B30">
        <v>2011</v>
      </c>
      <c r="C30" t="str">
        <f>IF(book_sales[[#This Row],[Publishing Year]]&lt;1900,"Classic (Before 1900)",IF(book_sales[[#This Row],[Publishing Year]]&lt;2000,"20th Century (1900-1999)","21st Century (2000+)"))</f>
        <v>21st Century (2000+)</v>
      </c>
      <c r="D30" t="s">
        <v>262</v>
      </c>
      <c r="E30" t="s">
        <v>263</v>
      </c>
      <c r="F30" t="s">
        <v>23</v>
      </c>
      <c r="G30" t="s">
        <v>24</v>
      </c>
      <c r="H30">
        <v>3.52</v>
      </c>
      <c r="I30">
        <v>100886</v>
      </c>
      <c r="J30" t="s">
        <v>19</v>
      </c>
      <c r="K30">
        <v>841.5</v>
      </c>
      <c r="L30">
        <v>504.9</v>
      </c>
      <c r="M30">
        <v>0.99</v>
      </c>
      <c r="N30">
        <v>130</v>
      </c>
      <c r="O30" t="s">
        <v>27</v>
      </c>
      <c r="P30">
        <v>850</v>
      </c>
    </row>
    <row r="31" spans="1:16" x14ac:dyDescent="0.35">
      <c r="A31">
        <v>523</v>
      </c>
      <c r="B31">
        <v>2012</v>
      </c>
      <c r="C31" t="str">
        <f>IF(book_sales[[#This Row],[Publishing Year]]&lt;1900,"Classic (Before 1900)",IF(book_sales[[#This Row],[Publishing Year]]&lt;2000,"20th Century (1900-1999)","21st Century (2000+)"))</f>
        <v>21st Century (2000+)</v>
      </c>
      <c r="D31" t="s">
        <v>952</v>
      </c>
      <c r="E31" t="s">
        <v>263</v>
      </c>
      <c r="G31" t="s">
        <v>24</v>
      </c>
      <c r="H31">
        <v>3.56</v>
      </c>
      <c r="I31">
        <v>109290</v>
      </c>
      <c r="J31" t="s">
        <v>19</v>
      </c>
      <c r="K31">
        <v>155.43</v>
      </c>
      <c r="L31">
        <v>0</v>
      </c>
      <c r="M31">
        <v>0.99</v>
      </c>
      <c r="N31">
        <v>580</v>
      </c>
      <c r="O31" t="s">
        <v>27</v>
      </c>
      <c r="P31">
        <v>4239</v>
      </c>
    </row>
    <row r="32" spans="1:16" x14ac:dyDescent="0.35">
      <c r="A32">
        <v>1029</v>
      </c>
      <c r="B32">
        <v>2010</v>
      </c>
      <c r="C32" t="str">
        <f>IF(book_sales[[#This Row],[Publishing Year]]&lt;1900,"Classic (Before 1900)",IF(book_sales[[#This Row],[Publishing Year]]&lt;2000,"20th Century (1900-1999)","21st Century (2000+)"))</f>
        <v>21st Century (2000+)</v>
      </c>
      <c r="D32" t="s">
        <v>1740</v>
      </c>
      <c r="E32" t="s">
        <v>1741</v>
      </c>
      <c r="F32" t="s">
        <v>23</v>
      </c>
      <c r="G32" t="s">
        <v>24</v>
      </c>
      <c r="H32">
        <v>3.89</v>
      </c>
      <c r="I32">
        <v>45319</v>
      </c>
      <c r="J32" t="s">
        <v>19</v>
      </c>
      <c r="K32">
        <v>640.92999999999995</v>
      </c>
      <c r="L32">
        <v>384.55799999999999</v>
      </c>
      <c r="M32">
        <v>5.99</v>
      </c>
      <c r="N32">
        <v>1217</v>
      </c>
      <c r="O32" t="s">
        <v>133</v>
      </c>
      <c r="P32">
        <v>107</v>
      </c>
    </row>
    <row r="33" spans="1:16" x14ac:dyDescent="0.35">
      <c r="A33">
        <v>585</v>
      </c>
      <c r="B33">
        <v>2010</v>
      </c>
      <c r="C33" t="str">
        <f>IF(book_sales[[#This Row],[Publishing Year]]&lt;1900,"Classic (Before 1900)",IF(book_sales[[#This Row],[Publishing Year]]&lt;2000,"20th Century (1900-1999)","21st Century (2000+)"))</f>
        <v>21st Century (2000+)</v>
      </c>
      <c r="D33" t="s">
        <v>1055</v>
      </c>
      <c r="E33" t="s">
        <v>1056</v>
      </c>
      <c r="F33" t="s">
        <v>23</v>
      </c>
      <c r="G33" t="s">
        <v>24</v>
      </c>
      <c r="H33">
        <v>4</v>
      </c>
      <c r="I33">
        <v>62784</v>
      </c>
      <c r="J33" t="s">
        <v>19</v>
      </c>
      <c r="K33">
        <v>418.6</v>
      </c>
      <c r="L33">
        <v>251.16</v>
      </c>
      <c r="M33">
        <v>2.99</v>
      </c>
      <c r="N33">
        <v>658</v>
      </c>
      <c r="O33" t="s">
        <v>27</v>
      </c>
      <c r="P33">
        <v>56808</v>
      </c>
    </row>
    <row r="34" spans="1:16" x14ac:dyDescent="0.35">
      <c r="A34">
        <v>912</v>
      </c>
      <c r="B34">
        <v>2011</v>
      </c>
      <c r="C34" t="str">
        <f>IF(book_sales[[#This Row],[Publishing Year]]&lt;1900,"Classic (Before 1900)",IF(book_sales[[#This Row],[Publishing Year]]&lt;2000,"20th Century (1900-1999)","21st Century (2000+)"))</f>
        <v>21st Century (2000+)</v>
      </c>
      <c r="D34" t="s">
        <v>1560</v>
      </c>
      <c r="E34" t="s">
        <v>1056</v>
      </c>
      <c r="F34" t="s">
        <v>23</v>
      </c>
      <c r="G34" t="s">
        <v>24</v>
      </c>
      <c r="H34">
        <v>3.98</v>
      </c>
      <c r="I34">
        <v>50158</v>
      </c>
      <c r="J34" t="s">
        <v>19</v>
      </c>
      <c r="K34">
        <v>109.89</v>
      </c>
      <c r="L34">
        <v>65.933999999999997</v>
      </c>
      <c r="M34">
        <v>0.99</v>
      </c>
      <c r="N34">
        <v>1069</v>
      </c>
      <c r="O34" t="s">
        <v>27</v>
      </c>
      <c r="P34">
        <v>4360</v>
      </c>
    </row>
    <row r="35" spans="1:16" x14ac:dyDescent="0.35">
      <c r="A35">
        <v>659</v>
      </c>
      <c r="B35">
        <v>2011</v>
      </c>
      <c r="C35" t="str">
        <f>IF(book_sales[[#This Row],[Publishing Year]]&lt;1900,"Classic (Before 1900)",IF(book_sales[[#This Row],[Publishing Year]]&lt;2000,"20th Century (1900-1999)","21st Century (2000+)"))</f>
        <v>21st Century (2000+)</v>
      </c>
      <c r="D35" t="s">
        <v>1175</v>
      </c>
      <c r="E35" t="s">
        <v>1176</v>
      </c>
      <c r="F35" t="s">
        <v>23</v>
      </c>
      <c r="G35" t="s">
        <v>24</v>
      </c>
      <c r="H35">
        <v>3.99</v>
      </c>
      <c r="I35">
        <v>75541</v>
      </c>
      <c r="J35" t="s">
        <v>19</v>
      </c>
      <c r="K35">
        <v>712.81</v>
      </c>
      <c r="L35">
        <v>427.68599999999998</v>
      </c>
      <c r="M35">
        <v>5.99</v>
      </c>
      <c r="N35">
        <v>760</v>
      </c>
      <c r="O35" t="s">
        <v>34</v>
      </c>
      <c r="P35">
        <v>40824</v>
      </c>
    </row>
    <row r="36" spans="1:16" x14ac:dyDescent="0.35">
      <c r="A36">
        <v>317</v>
      </c>
      <c r="B36">
        <v>2001</v>
      </c>
      <c r="C36" t="str">
        <f>IF(book_sales[[#This Row],[Publishing Year]]&lt;1900,"Classic (Before 1900)",IF(book_sales[[#This Row],[Publishing Year]]&lt;2000,"20th Century (1900-1999)","21st Century (2000+)"))</f>
        <v>21st Century (2000+)</v>
      </c>
      <c r="D36" t="s">
        <v>600</v>
      </c>
      <c r="E36" t="s">
        <v>601</v>
      </c>
      <c r="F36" t="s">
        <v>17</v>
      </c>
      <c r="G36" t="s">
        <v>24</v>
      </c>
      <c r="H36">
        <v>3.98</v>
      </c>
      <c r="I36">
        <v>99926</v>
      </c>
      <c r="J36" t="s">
        <v>41</v>
      </c>
      <c r="K36">
        <v>263.33999999999997</v>
      </c>
      <c r="L36">
        <v>0</v>
      </c>
      <c r="M36">
        <v>0.99</v>
      </c>
      <c r="N36">
        <v>340</v>
      </c>
      <c r="O36" t="s">
        <v>27</v>
      </c>
      <c r="P36">
        <v>266</v>
      </c>
    </row>
    <row r="37" spans="1:16" x14ac:dyDescent="0.35">
      <c r="A37">
        <v>354</v>
      </c>
      <c r="B37">
        <v>1999</v>
      </c>
      <c r="C37" t="str">
        <f>IF(book_sales[[#This Row],[Publishing Year]]&lt;1900,"Classic (Before 1900)",IF(book_sales[[#This Row],[Publishing Year]]&lt;2000,"20th Century (1900-1999)","21st Century (2000+)"))</f>
        <v>20th Century (1900-1999)</v>
      </c>
      <c r="D37" t="s">
        <v>669</v>
      </c>
      <c r="E37" t="s">
        <v>670</v>
      </c>
      <c r="F37" t="s">
        <v>23</v>
      </c>
      <c r="G37" t="s">
        <v>24</v>
      </c>
      <c r="H37">
        <v>3.83</v>
      </c>
      <c r="I37">
        <v>55381</v>
      </c>
      <c r="J37" t="s">
        <v>19</v>
      </c>
      <c r="K37">
        <v>933.66</v>
      </c>
      <c r="L37">
        <v>560.19600000000003</v>
      </c>
      <c r="M37">
        <v>3.99</v>
      </c>
      <c r="N37">
        <v>381</v>
      </c>
      <c r="O37" t="s">
        <v>27</v>
      </c>
      <c r="P37">
        <v>234</v>
      </c>
    </row>
    <row r="38" spans="1:16" x14ac:dyDescent="0.35">
      <c r="A38">
        <v>662</v>
      </c>
      <c r="B38">
        <v>1996</v>
      </c>
      <c r="C38" t="str">
        <f>IF(book_sales[[#This Row],[Publishing Year]]&lt;1900,"Classic (Before 1900)",IF(book_sales[[#This Row],[Publishing Year]]&lt;2000,"20th Century (1900-1999)","21st Century (2000+)"))</f>
        <v>20th Century (1900-1999)</v>
      </c>
      <c r="D38" t="s">
        <v>1181</v>
      </c>
      <c r="E38" t="s">
        <v>1182</v>
      </c>
      <c r="F38" t="s">
        <v>17</v>
      </c>
      <c r="G38" t="s">
        <v>24</v>
      </c>
      <c r="H38">
        <v>3.79</v>
      </c>
      <c r="I38">
        <v>83351</v>
      </c>
      <c r="J38" t="s">
        <v>19</v>
      </c>
      <c r="K38">
        <v>712.81</v>
      </c>
      <c r="L38">
        <v>427.68599999999998</v>
      </c>
      <c r="M38">
        <v>5.99</v>
      </c>
      <c r="N38">
        <v>762</v>
      </c>
      <c r="O38" t="s">
        <v>133</v>
      </c>
      <c r="P38">
        <v>39960</v>
      </c>
    </row>
    <row r="39" spans="1:16" x14ac:dyDescent="0.35">
      <c r="A39">
        <v>792</v>
      </c>
      <c r="B39">
        <v>2005</v>
      </c>
      <c r="C39" t="str">
        <f>IF(book_sales[[#This Row],[Publishing Year]]&lt;1900,"Classic (Before 1900)",IF(book_sales[[#This Row],[Publishing Year]]&lt;2000,"20th Century (1900-1999)","21st Century (2000+)"))</f>
        <v>21st Century (2000+)</v>
      </c>
      <c r="D39" t="s">
        <v>1390</v>
      </c>
      <c r="E39" t="s">
        <v>1391</v>
      </c>
      <c r="F39" t="s">
        <v>23</v>
      </c>
      <c r="G39" t="s">
        <v>24</v>
      </c>
      <c r="H39">
        <v>3.8</v>
      </c>
      <c r="I39">
        <v>86805</v>
      </c>
      <c r="J39" t="s">
        <v>19</v>
      </c>
      <c r="K39">
        <v>343.85</v>
      </c>
      <c r="L39">
        <v>206.31</v>
      </c>
      <c r="M39">
        <v>2.99</v>
      </c>
      <c r="N39">
        <v>917</v>
      </c>
      <c r="O39" t="s">
        <v>27</v>
      </c>
      <c r="P39">
        <v>2916</v>
      </c>
    </row>
    <row r="40" spans="1:16" x14ac:dyDescent="0.35">
      <c r="A40">
        <v>951</v>
      </c>
      <c r="B40">
        <v>2014</v>
      </c>
      <c r="C40" t="str">
        <f>IF(book_sales[[#This Row],[Publishing Year]]&lt;1900,"Classic (Before 1900)",IF(book_sales[[#This Row],[Publishing Year]]&lt;2000,"20th Century (1900-1999)","21st Century (2000+)"))</f>
        <v>21st Century (2000+)</v>
      </c>
      <c r="D40" t="s">
        <v>1624</v>
      </c>
      <c r="E40" t="s">
        <v>1625</v>
      </c>
      <c r="F40" t="s">
        <v>23</v>
      </c>
      <c r="G40" t="s">
        <v>24</v>
      </c>
      <c r="H40">
        <v>3.79</v>
      </c>
      <c r="I40">
        <v>51603</v>
      </c>
      <c r="J40" t="s">
        <v>19</v>
      </c>
      <c r="K40">
        <v>548.9</v>
      </c>
      <c r="L40">
        <v>0</v>
      </c>
      <c r="M40">
        <v>4.99</v>
      </c>
      <c r="N40">
        <v>1120</v>
      </c>
      <c r="O40" t="s">
        <v>27</v>
      </c>
      <c r="P40">
        <v>4280</v>
      </c>
    </row>
    <row r="41" spans="1:16" x14ac:dyDescent="0.35">
      <c r="A41">
        <v>780</v>
      </c>
      <c r="B41">
        <v>1998</v>
      </c>
      <c r="C41" t="str">
        <f>IF(book_sales[[#This Row],[Publishing Year]]&lt;1900,"Classic (Before 1900)",IF(book_sales[[#This Row],[Publishing Year]]&lt;2000,"20th Century (1900-1999)","21st Century (2000+)"))</f>
        <v>20th Century (1900-1999)</v>
      </c>
      <c r="D41" t="s">
        <v>1367</v>
      </c>
      <c r="E41" t="s">
        <v>1368</v>
      </c>
      <c r="F41" t="s">
        <v>23</v>
      </c>
      <c r="G41" t="s">
        <v>24</v>
      </c>
      <c r="H41">
        <v>3.5</v>
      </c>
      <c r="I41">
        <v>71777</v>
      </c>
      <c r="J41" t="s">
        <v>19</v>
      </c>
      <c r="K41">
        <v>1367.35</v>
      </c>
      <c r="L41">
        <v>820.41</v>
      </c>
      <c r="M41">
        <v>11.89</v>
      </c>
      <c r="N41">
        <v>904</v>
      </c>
      <c r="O41" t="s">
        <v>66</v>
      </c>
      <c r="P41">
        <v>28296</v>
      </c>
    </row>
    <row r="42" spans="1:16" x14ac:dyDescent="0.35">
      <c r="A42">
        <v>166</v>
      </c>
      <c r="B42">
        <v>2011</v>
      </c>
      <c r="C42" t="str">
        <f>IF(book_sales[[#This Row],[Publishing Year]]&lt;1900,"Classic (Before 1900)",IF(book_sales[[#This Row],[Publishing Year]]&lt;2000,"20th Century (1900-1999)","21st Century (2000+)"))</f>
        <v>21st Century (2000+)</v>
      </c>
      <c r="D42" t="s">
        <v>332</v>
      </c>
      <c r="E42" t="s">
        <v>333</v>
      </c>
      <c r="F42" t="s">
        <v>23</v>
      </c>
      <c r="G42" t="s">
        <v>24</v>
      </c>
      <c r="H42">
        <v>3.85</v>
      </c>
      <c r="I42">
        <v>124837</v>
      </c>
      <c r="J42" t="s">
        <v>19</v>
      </c>
      <c r="K42">
        <v>1210</v>
      </c>
      <c r="L42">
        <v>0</v>
      </c>
      <c r="M42">
        <v>2</v>
      </c>
      <c r="N42">
        <v>179</v>
      </c>
      <c r="O42" t="s">
        <v>27</v>
      </c>
      <c r="P42">
        <v>605</v>
      </c>
    </row>
    <row r="43" spans="1:16" x14ac:dyDescent="0.35">
      <c r="A43">
        <v>855</v>
      </c>
      <c r="B43">
        <v>1998</v>
      </c>
      <c r="C43" t="str">
        <f>IF(book_sales[[#This Row],[Publishing Year]]&lt;1900,"Classic (Before 1900)",IF(book_sales[[#This Row],[Publishing Year]]&lt;2000,"20th Century (1900-1999)","21st Century (2000+)"))</f>
        <v>20th Century (1900-1999)</v>
      </c>
      <c r="D43" t="s">
        <v>1479</v>
      </c>
      <c r="E43" t="s">
        <v>1480</v>
      </c>
      <c r="F43" t="s">
        <v>23</v>
      </c>
      <c r="G43" t="s">
        <v>24</v>
      </c>
      <c r="H43">
        <v>3.86</v>
      </c>
      <c r="I43">
        <v>67753</v>
      </c>
      <c r="J43" t="s">
        <v>19</v>
      </c>
      <c r="K43">
        <v>450.87</v>
      </c>
      <c r="L43">
        <v>270.52199999999999</v>
      </c>
      <c r="M43">
        <v>3.99</v>
      </c>
      <c r="N43">
        <v>1001</v>
      </c>
      <c r="O43" t="s">
        <v>27</v>
      </c>
      <c r="P43">
        <v>2862</v>
      </c>
    </row>
    <row r="44" spans="1:16" x14ac:dyDescent="0.35">
      <c r="A44">
        <v>597</v>
      </c>
      <c r="B44">
        <v>1968</v>
      </c>
      <c r="C44" t="str">
        <f>IF(book_sales[[#This Row],[Publishing Year]]&lt;1900,"Classic (Before 1900)",IF(book_sales[[#This Row],[Publishing Year]]&lt;2000,"20th Century (1900-1999)","21st Century (2000+)"))</f>
        <v>20th Century (1900-1999)</v>
      </c>
      <c r="D44" t="s">
        <v>1071</v>
      </c>
      <c r="E44" t="s">
        <v>1072</v>
      </c>
      <c r="F44" t="s">
        <v>23</v>
      </c>
      <c r="G44" t="s">
        <v>532</v>
      </c>
      <c r="H44">
        <v>4.0999999999999996</v>
      </c>
      <c r="I44">
        <v>95378</v>
      </c>
      <c r="J44" t="s">
        <v>19</v>
      </c>
      <c r="K44">
        <v>133.65</v>
      </c>
      <c r="L44">
        <v>0</v>
      </c>
      <c r="M44">
        <v>0.99</v>
      </c>
      <c r="N44">
        <v>679</v>
      </c>
      <c r="O44" t="s">
        <v>27</v>
      </c>
      <c r="P44">
        <v>52488</v>
      </c>
    </row>
    <row r="45" spans="1:16" x14ac:dyDescent="0.35">
      <c r="A45">
        <v>165</v>
      </c>
      <c r="B45">
        <v>1985</v>
      </c>
      <c r="C45" t="str">
        <f>IF(book_sales[[#This Row],[Publishing Year]]&lt;1900,"Classic (Before 1900)",IF(book_sales[[#This Row],[Publishing Year]]&lt;2000,"20th Century (1900-1999)","21st Century (2000+)"))</f>
        <v>20th Century (1900-1999)</v>
      </c>
      <c r="D45" t="s">
        <v>330</v>
      </c>
      <c r="E45" t="s">
        <v>331</v>
      </c>
      <c r="F45" t="s">
        <v>23</v>
      </c>
      <c r="G45" t="s">
        <v>24</v>
      </c>
      <c r="H45">
        <v>4.05</v>
      </c>
      <c r="I45">
        <v>141299</v>
      </c>
      <c r="J45" t="s">
        <v>19</v>
      </c>
      <c r="K45">
        <v>603.9</v>
      </c>
      <c r="L45">
        <v>362.34</v>
      </c>
      <c r="M45">
        <v>0.99</v>
      </c>
      <c r="N45">
        <v>178</v>
      </c>
      <c r="O45" t="s">
        <v>27</v>
      </c>
      <c r="P45">
        <v>610</v>
      </c>
    </row>
    <row r="46" spans="1:16" x14ac:dyDescent="0.35">
      <c r="A46">
        <v>367</v>
      </c>
      <c r="B46">
        <v>1988</v>
      </c>
      <c r="C46" t="str">
        <f>IF(book_sales[[#This Row],[Publishing Year]]&lt;1900,"Classic (Before 1900)",IF(book_sales[[#This Row],[Publishing Year]]&lt;2000,"20th Century (1900-1999)","21st Century (2000+)"))</f>
        <v>20th Century (1900-1999)</v>
      </c>
      <c r="D46" t="s">
        <v>690</v>
      </c>
      <c r="E46" t="s">
        <v>331</v>
      </c>
      <c r="F46" t="s">
        <v>23</v>
      </c>
      <c r="G46" t="s">
        <v>24</v>
      </c>
      <c r="H46">
        <v>3.86</v>
      </c>
      <c r="I46">
        <v>110693</v>
      </c>
      <c r="J46" t="s">
        <v>19</v>
      </c>
      <c r="K46">
        <v>223.74</v>
      </c>
      <c r="L46">
        <v>134.244</v>
      </c>
      <c r="M46">
        <v>0.99</v>
      </c>
      <c r="N46">
        <v>397</v>
      </c>
      <c r="O46" t="s">
        <v>27</v>
      </c>
      <c r="P46">
        <v>6102</v>
      </c>
    </row>
    <row r="47" spans="1:16" x14ac:dyDescent="0.35">
      <c r="A47">
        <v>686</v>
      </c>
      <c r="B47">
        <v>1990</v>
      </c>
      <c r="C47" t="str">
        <f>IF(book_sales[[#This Row],[Publishing Year]]&lt;1900,"Classic (Before 1900)",IF(book_sales[[#This Row],[Publishing Year]]&lt;2000,"20th Century (1900-1999)","21st Century (2000+)"))</f>
        <v>20th Century (1900-1999)</v>
      </c>
      <c r="D47" t="s">
        <v>1221</v>
      </c>
      <c r="E47" t="s">
        <v>331</v>
      </c>
      <c r="F47" t="s">
        <v>23</v>
      </c>
      <c r="G47" t="s">
        <v>532</v>
      </c>
      <c r="H47">
        <v>4.0999999999999996</v>
      </c>
      <c r="I47">
        <v>79824</v>
      </c>
      <c r="J47" t="s">
        <v>41</v>
      </c>
      <c r="K47">
        <v>357.54</v>
      </c>
      <c r="L47">
        <v>214.524</v>
      </c>
      <c r="M47">
        <v>3.03</v>
      </c>
      <c r="N47">
        <v>789</v>
      </c>
      <c r="O47" t="s">
        <v>27</v>
      </c>
      <c r="P47">
        <v>36504</v>
      </c>
    </row>
    <row r="48" spans="1:16" x14ac:dyDescent="0.35">
      <c r="A48">
        <v>1002</v>
      </c>
      <c r="B48">
        <v>1992</v>
      </c>
      <c r="C48" t="str">
        <f>IF(book_sales[[#This Row],[Publishing Year]]&lt;1900,"Classic (Before 1900)",IF(book_sales[[#This Row],[Publishing Year]]&lt;2000,"20th Century (1900-1999)","21st Century (2000+)"))</f>
        <v>20th Century (1900-1999)</v>
      </c>
      <c r="D48" t="s">
        <v>1703</v>
      </c>
      <c r="E48" t="s">
        <v>331</v>
      </c>
      <c r="F48" t="s">
        <v>17</v>
      </c>
      <c r="G48" t="s">
        <v>24</v>
      </c>
      <c r="H48">
        <v>3.7</v>
      </c>
      <c r="I48">
        <v>67267</v>
      </c>
      <c r="J48" t="s">
        <v>30</v>
      </c>
      <c r="K48">
        <v>214.92</v>
      </c>
      <c r="L48">
        <v>128.952</v>
      </c>
      <c r="M48">
        <v>1.99</v>
      </c>
      <c r="N48">
        <v>1186</v>
      </c>
      <c r="O48" t="s">
        <v>20</v>
      </c>
      <c r="P48">
        <v>108</v>
      </c>
    </row>
    <row r="49" spans="1:16" x14ac:dyDescent="0.35">
      <c r="A49">
        <v>1007</v>
      </c>
      <c r="B49">
        <v>2015</v>
      </c>
      <c r="C49" t="str">
        <f>IF(book_sales[[#This Row],[Publishing Year]]&lt;1900,"Classic (Before 1900)",IF(book_sales[[#This Row],[Publishing Year]]&lt;2000,"20th Century (1900-1999)","21st Century (2000+)"))</f>
        <v>21st Century (2000+)</v>
      </c>
      <c r="D49" t="s">
        <v>1708</v>
      </c>
      <c r="E49" t="s">
        <v>1709</v>
      </c>
      <c r="F49" t="s">
        <v>23</v>
      </c>
      <c r="G49" t="s">
        <v>18</v>
      </c>
      <c r="H49">
        <v>3.4</v>
      </c>
      <c r="I49">
        <v>42339</v>
      </c>
      <c r="J49" t="s">
        <v>19</v>
      </c>
      <c r="K49">
        <v>1186.92</v>
      </c>
      <c r="L49">
        <v>712.15200000000004</v>
      </c>
      <c r="M49">
        <v>10.99</v>
      </c>
      <c r="N49">
        <v>1194</v>
      </c>
      <c r="O49" t="s">
        <v>34</v>
      </c>
      <c r="P49">
        <v>108</v>
      </c>
    </row>
    <row r="50" spans="1:16" x14ac:dyDescent="0.35">
      <c r="A50">
        <v>671</v>
      </c>
      <c r="B50">
        <v>1985</v>
      </c>
      <c r="C50" t="str">
        <f>IF(book_sales[[#This Row],[Publishing Year]]&lt;1900,"Classic (Before 1900)",IF(book_sales[[#This Row],[Publishing Year]]&lt;2000,"20th Century (1900-1999)","21st Century (2000+)"))</f>
        <v>20th Century (1900-1999)</v>
      </c>
      <c r="D50" t="s">
        <v>1195</v>
      </c>
      <c r="E50" t="s">
        <v>1196</v>
      </c>
      <c r="F50" t="s">
        <v>23</v>
      </c>
      <c r="G50" t="s">
        <v>24</v>
      </c>
      <c r="H50">
        <v>3.9</v>
      </c>
      <c r="I50">
        <v>80075</v>
      </c>
      <c r="J50" t="s">
        <v>19</v>
      </c>
      <c r="K50">
        <v>784.21</v>
      </c>
      <c r="L50">
        <v>470.52600000000001</v>
      </c>
      <c r="M50">
        <v>6.59</v>
      </c>
      <c r="N50">
        <v>770</v>
      </c>
      <c r="O50" t="s">
        <v>27</v>
      </c>
      <c r="P50">
        <v>38448</v>
      </c>
    </row>
    <row r="51" spans="1:16" x14ac:dyDescent="0.35">
      <c r="A51">
        <v>388</v>
      </c>
      <c r="B51">
        <v>1993</v>
      </c>
      <c r="C51" t="str">
        <f>IF(book_sales[[#This Row],[Publishing Year]]&lt;1900,"Classic (Before 1900)",IF(book_sales[[#This Row],[Publishing Year]]&lt;2000,"20th Century (1900-1999)","21st Century (2000+)"))</f>
        <v>20th Century (1900-1999)</v>
      </c>
      <c r="D51" t="s">
        <v>728</v>
      </c>
      <c r="E51" t="s">
        <v>729</v>
      </c>
      <c r="F51" t="s">
        <v>23</v>
      </c>
      <c r="G51" t="s">
        <v>24</v>
      </c>
      <c r="H51">
        <v>3.83</v>
      </c>
      <c r="I51">
        <v>103151</v>
      </c>
      <c r="J51" t="s">
        <v>19</v>
      </c>
      <c r="K51">
        <v>1281.8599999999999</v>
      </c>
      <c r="L51">
        <v>0</v>
      </c>
      <c r="M51">
        <v>5.99</v>
      </c>
      <c r="N51">
        <v>421</v>
      </c>
      <c r="O51" t="s">
        <v>27</v>
      </c>
      <c r="P51">
        <v>5778</v>
      </c>
    </row>
    <row r="52" spans="1:16" x14ac:dyDescent="0.35">
      <c r="A52">
        <v>807</v>
      </c>
      <c r="B52">
        <v>1830</v>
      </c>
      <c r="C52" t="str">
        <f>IF(book_sales[[#This Row],[Publishing Year]]&lt;1900,"Classic (Before 1900)",IF(book_sales[[#This Row],[Publishing Year]]&lt;2000,"20th Century (1900-1999)","21st Century (2000+)"))</f>
        <v>Classic (Before 1900)</v>
      </c>
      <c r="D52" t="s">
        <v>1414</v>
      </c>
      <c r="E52" t="s">
        <v>1415</v>
      </c>
      <c r="F52" t="s">
        <v>23</v>
      </c>
      <c r="G52" t="s">
        <v>532</v>
      </c>
      <c r="H52">
        <v>4.37</v>
      </c>
      <c r="I52">
        <v>63530</v>
      </c>
      <c r="J52" t="s">
        <v>19</v>
      </c>
      <c r="K52">
        <v>1366.86</v>
      </c>
      <c r="L52">
        <v>820.11599999999999</v>
      </c>
      <c r="M52">
        <v>11.99</v>
      </c>
      <c r="N52">
        <v>941</v>
      </c>
      <c r="O52" t="s">
        <v>46</v>
      </c>
      <c r="P52">
        <v>2916</v>
      </c>
    </row>
    <row r="53" spans="1:16" x14ac:dyDescent="0.35">
      <c r="A53">
        <v>43</v>
      </c>
      <c r="B53">
        <v>2000</v>
      </c>
      <c r="C53" t="str">
        <f>IF(book_sales[[#This Row],[Publishing Year]]&lt;1900,"Classic (Before 1900)",IF(book_sales[[#This Row],[Publishing Year]]&lt;2000,"20th Century (1900-1999)","21st Century (2000+)"))</f>
        <v>21st Century (2000+)</v>
      </c>
      <c r="D53" t="s">
        <v>110</v>
      </c>
      <c r="E53" t="s">
        <v>111</v>
      </c>
      <c r="F53" t="s">
        <v>23</v>
      </c>
      <c r="G53" t="s">
        <v>24</v>
      </c>
      <c r="H53">
        <v>4</v>
      </c>
      <c r="I53">
        <v>134177</v>
      </c>
      <c r="J53" t="s">
        <v>19</v>
      </c>
      <c r="K53">
        <v>11057.54</v>
      </c>
      <c r="L53">
        <v>6634.5240000000003</v>
      </c>
      <c r="M53">
        <v>5.99</v>
      </c>
      <c r="N53">
        <v>45</v>
      </c>
      <c r="O53" t="s">
        <v>20</v>
      </c>
      <c r="P53">
        <v>1846</v>
      </c>
    </row>
    <row r="54" spans="1:16" x14ac:dyDescent="0.35">
      <c r="A54">
        <v>126</v>
      </c>
      <c r="B54">
        <v>2008</v>
      </c>
      <c r="C54" t="str">
        <f>IF(book_sales[[#This Row],[Publishing Year]]&lt;1900,"Classic (Before 1900)",IF(book_sales[[#This Row],[Publishing Year]]&lt;2000,"20th Century (1900-1999)","21st Century (2000+)"))</f>
        <v>21st Century (2000+)</v>
      </c>
      <c r="D54" t="s">
        <v>266</v>
      </c>
      <c r="E54" t="s">
        <v>267</v>
      </c>
      <c r="F54" t="s">
        <v>23</v>
      </c>
      <c r="G54" t="s">
        <v>24</v>
      </c>
      <c r="H54">
        <v>3.71</v>
      </c>
      <c r="I54">
        <v>114531</v>
      </c>
      <c r="J54" t="s">
        <v>19</v>
      </c>
      <c r="K54">
        <v>6711.6</v>
      </c>
      <c r="L54">
        <v>4026.96</v>
      </c>
      <c r="M54">
        <v>7.99</v>
      </c>
      <c r="N54">
        <v>132</v>
      </c>
      <c r="O54" t="s">
        <v>46</v>
      </c>
      <c r="P54">
        <v>840</v>
      </c>
    </row>
    <row r="55" spans="1:16" x14ac:dyDescent="0.35">
      <c r="A55">
        <v>1017</v>
      </c>
      <c r="B55">
        <v>1970</v>
      </c>
      <c r="C55" t="str">
        <f>IF(book_sales[[#This Row],[Publishing Year]]&lt;1900,"Classic (Before 1900)",IF(book_sales[[#This Row],[Publishing Year]]&lt;2000,"20th Century (1900-1999)","21st Century (2000+)"))</f>
        <v>20th Century (1900-1999)</v>
      </c>
      <c r="D55" t="s">
        <v>1724</v>
      </c>
      <c r="E55" t="s">
        <v>1725</v>
      </c>
      <c r="F55" t="s">
        <v>23</v>
      </c>
      <c r="G55" t="s">
        <v>532</v>
      </c>
      <c r="H55">
        <v>4.18</v>
      </c>
      <c r="I55">
        <v>70119</v>
      </c>
      <c r="J55" t="s">
        <v>41</v>
      </c>
      <c r="K55">
        <v>322.92</v>
      </c>
      <c r="L55">
        <v>193.75200000000001</v>
      </c>
      <c r="M55">
        <v>2.99</v>
      </c>
      <c r="N55">
        <v>1200</v>
      </c>
      <c r="O55" t="s">
        <v>20</v>
      </c>
      <c r="P55">
        <v>108</v>
      </c>
    </row>
    <row r="56" spans="1:16" x14ac:dyDescent="0.35">
      <c r="A56">
        <v>734</v>
      </c>
      <c r="B56">
        <v>1991</v>
      </c>
      <c r="C56" t="str">
        <f>IF(book_sales[[#This Row],[Publishing Year]]&lt;1900,"Classic (Before 1900)",IF(book_sales[[#This Row],[Publishing Year]]&lt;2000,"20th Century (1900-1999)","21st Century (2000+)"))</f>
        <v>20th Century (1900-1999)</v>
      </c>
      <c r="D56" t="s">
        <v>1294</v>
      </c>
      <c r="E56" t="s">
        <v>1295</v>
      </c>
      <c r="F56" t="s">
        <v>23</v>
      </c>
      <c r="G56" t="s">
        <v>53</v>
      </c>
      <c r="H56">
        <v>4.41</v>
      </c>
      <c r="I56">
        <v>90147</v>
      </c>
      <c r="J56" t="s">
        <v>41</v>
      </c>
      <c r="K56">
        <v>583.83000000000004</v>
      </c>
      <c r="L56">
        <v>350.298</v>
      </c>
      <c r="M56">
        <v>4.99</v>
      </c>
      <c r="N56">
        <v>842</v>
      </c>
      <c r="O56" t="s">
        <v>31</v>
      </c>
      <c r="P56">
        <v>32832</v>
      </c>
    </row>
    <row r="57" spans="1:16" x14ac:dyDescent="0.35">
      <c r="A57">
        <v>849</v>
      </c>
      <c r="B57">
        <v>1986</v>
      </c>
      <c r="C57" t="str">
        <f>IF(book_sales[[#This Row],[Publishing Year]]&lt;1900,"Classic (Before 1900)",IF(book_sales[[#This Row],[Publishing Year]]&lt;2000,"20th Century (1900-1999)","21st Century (2000+)"))</f>
        <v>20th Century (1900-1999)</v>
      </c>
      <c r="D57" t="s">
        <v>1470</v>
      </c>
      <c r="E57" t="s">
        <v>1295</v>
      </c>
      <c r="F57" t="s">
        <v>92</v>
      </c>
      <c r="G57" t="s">
        <v>53</v>
      </c>
      <c r="H57">
        <v>4.53</v>
      </c>
      <c r="I57">
        <v>76785</v>
      </c>
      <c r="J57" t="s">
        <v>41</v>
      </c>
      <c r="K57">
        <v>111.87</v>
      </c>
      <c r="L57">
        <v>67.122</v>
      </c>
      <c r="M57">
        <v>0.99</v>
      </c>
      <c r="N57">
        <v>994</v>
      </c>
      <c r="O57" t="s">
        <v>27</v>
      </c>
      <c r="P57">
        <v>2862</v>
      </c>
    </row>
    <row r="58" spans="1:16" x14ac:dyDescent="0.35">
      <c r="A58">
        <v>366</v>
      </c>
      <c r="B58">
        <v>1973</v>
      </c>
      <c r="C58" t="str">
        <f>IF(book_sales[[#This Row],[Publishing Year]]&lt;1900,"Classic (Before 1900)",IF(book_sales[[#This Row],[Publishing Year]]&lt;2000,"20th Century (1900-1999)","21st Century (2000+)"))</f>
        <v>20th Century (1900-1999)</v>
      </c>
      <c r="D58" t="s">
        <v>688</v>
      </c>
      <c r="E58" t="s">
        <v>689</v>
      </c>
      <c r="F58" t="s">
        <v>23</v>
      </c>
      <c r="G58" t="s">
        <v>532</v>
      </c>
      <c r="H58">
        <v>4.0599999999999996</v>
      </c>
      <c r="I58">
        <v>93151</v>
      </c>
      <c r="J58" t="s">
        <v>19</v>
      </c>
      <c r="K58">
        <v>1468.69</v>
      </c>
      <c r="L58">
        <v>881.21400000000006</v>
      </c>
      <c r="M58">
        <v>6.47</v>
      </c>
      <c r="N58">
        <v>395</v>
      </c>
      <c r="O58" t="s">
        <v>27</v>
      </c>
      <c r="P58">
        <v>6129</v>
      </c>
    </row>
    <row r="59" spans="1:16" x14ac:dyDescent="0.35">
      <c r="A59">
        <v>488</v>
      </c>
      <c r="B59">
        <v>1953</v>
      </c>
      <c r="C59" t="str">
        <f>IF(book_sales[[#This Row],[Publishing Year]]&lt;1900,"Classic (Before 1900)",IF(book_sales[[#This Row],[Publishing Year]]&lt;2000,"20th Century (1900-1999)","21st Century (2000+)"))</f>
        <v>20th Century (1900-1999)</v>
      </c>
      <c r="D59" t="s">
        <v>896</v>
      </c>
      <c r="E59" t="s">
        <v>689</v>
      </c>
      <c r="F59" t="s">
        <v>17</v>
      </c>
      <c r="G59" t="s">
        <v>532</v>
      </c>
      <c r="H59">
        <v>4.09</v>
      </c>
      <c r="I59">
        <v>87141</v>
      </c>
      <c r="J59" t="s">
        <v>19</v>
      </c>
      <c r="K59">
        <v>1226.74</v>
      </c>
      <c r="L59">
        <v>0</v>
      </c>
      <c r="M59">
        <v>7.39</v>
      </c>
      <c r="N59">
        <v>539</v>
      </c>
      <c r="O59" t="s">
        <v>27</v>
      </c>
      <c r="P59">
        <v>4482</v>
      </c>
    </row>
    <row r="60" spans="1:16" x14ac:dyDescent="0.35">
      <c r="A60">
        <v>238</v>
      </c>
      <c r="B60">
        <v>1894</v>
      </c>
      <c r="C60" t="str">
        <f>IF(book_sales[[#This Row],[Publishing Year]]&lt;1900,"Classic (Before 1900)",IF(book_sales[[#This Row],[Publishing Year]]&lt;2000,"20th Century (1900-1999)","21st Century (2000+)"))</f>
        <v>Classic (Before 1900)</v>
      </c>
      <c r="D60" t="s">
        <v>459</v>
      </c>
      <c r="E60" t="s">
        <v>460</v>
      </c>
      <c r="F60" t="s">
        <v>23</v>
      </c>
      <c r="G60" t="s">
        <v>53</v>
      </c>
      <c r="H60">
        <v>4.5</v>
      </c>
      <c r="I60">
        <v>109754</v>
      </c>
      <c r="J60" t="s">
        <v>19</v>
      </c>
      <c r="K60">
        <v>3180.02</v>
      </c>
      <c r="L60">
        <v>1908.0119999999999</v>
      </c>
      <c r="M60">
        <v>7.99</v>
      </c>
      <c r="N60">
        <v>261</v>
      </c>
      <c r="O60" t="s">
        <v>34</v>
      </c>
      <c r="P60">
        <v>398</v>
      </c>
    </row>
    <row r="61" spans="1:16" x14ac:dyDescent="0.35">
      <c r="A61">
        <v>930</v>
      </c>
      <c r="B61">
        <v>1894</v>
      </c>
      <c r="C61" t="str">
        <f>IF(book_sales[[#This Row],[Publishing Year]]&lt;1900,"Classic (Before 1900)",IF(book_sales[[#This Row],[Publishing Year]]&lt;2000,"20th Century (1900-1999)","21st Century (2000+)"))</f>
        <v>Classic (Before 1900)</v>
      </c>
      <c r="D61" t="s">
        <v>1588</v>
      </c>
      <c r="E61" t="s">
        <v>460</v>
      </c>
      <c r="F61" t="s">
        <v>23</v>
      </c>
      <c r="G61" t="s">
        <v>532</v>
      </c>
      <c r="H61">
        <v>4.32</v>
      </c>
      <c r="I61">
        <v>56918</v>
      </c>
      <c r="J61" t="s">
        <v>41</v>
      </c>
      <c r="K61">
        <v>1230.9000000000001</v>
      </c>
      <c r="L61">
        <v>738.54</v>
      </c>
      <c r="M61">
        <v>11.19</v>
      </c>
      <c r="N61">
        <v>1095</v>
      </c>
      <c r="O61" t="s">
        <v>20</v>
      </c>
      <c r="P61">
        <v>4320</v>
      </c>
    </row>
    <row r="62" spans="1:16" x14ac:dyDescent="0.35">
      <c r="A62">
        <v>87</v>
      </c>
      <c r="B62">
        <v>1902</v>
      </c>
      <c r="C62" t="str">
        <f>IF(book_sales[[#This Row],[Publishing Year]]&lt;1900,"Classic (Before 1900)",IF(book_sales[[#This Row],[Publishing Year]]&lt;2000,"20th Century (1900-1999)","21st Century (2000+)"))</f>
        <v>20th Century (1900-1999)</v>
      </c>
      <c r="D62" t="s">
        <v>197</v>
      </c>
      <c r="E62" t="s">
        <v>198</v>
      </c>
      <c r="F62" t="s">
        <v>23</v>
      </c>
      <c r="G62" t="s">
        <v>24</v>
      </c>
      <c r="H62">
        <v>4.09</v>
      </c>
      <c r="I62">
        <v>154517</v>
      </c>
      <c r="J62" t="s">
        <v>19</v>
      </c>
      <c r="K62">
        <v>2356.16</v>
      </c>
      <c r="L62">
        <v>1413.6959999999999</v>
      </c>
      <c r="M62">
        <v>1.99</v>
      </c>
      <c r="N62">
        <v>88</v>
      </c>
      <c r="O62" t="s">
        <v>133</v>
      </c>
      <c r="P62">
        <v>1184</v>
      </c>
    </row>
    <row r="63" spans="1:16" x14ac:dyDescent="0.35">
      <c r="A63">
        <v>789</v>
      </c>
      <c r="B63">
        <v>1914</v>
      </c>
      <c r="C63" t="str">
        <f>IF(book_sales[[#This Row],[Publishing Year]]&lt;1900,"Classic (Before 1900)",IF(book_sales[[#This Row],[Publishing Year]]&lt;2000,"20th Century (1900-1999)","21st Century (2000+)"))</f>
        <v>20th Century (1900-1999)</v>
      </c>
      <c r="D63" t="s">
        <v>1384</v>
      </c>
      <c r="E63" t="s">
        <v>1385</v>
      </c>
      <c r="G63" t="s">
        <v>53</v>
      </c>
      <c r="H63">
        <v>4.46</v>
      </c>
      <c r="I63">
        <v>66857</v>
      </c>
      <c r="J63" t="s">
        <v>41</v>
      </c>
      <c r="K63">
        <v>1263.8499999999999</v>
      </c>
      <c r="L63">
        <v>758.31</v>
      </c>
      <c r="M63">
        <v>10.99</v>
      </c>
      <c r="N63">
        <v>914</v>
      </c>
      <c r="O63" t="s">
        <v>46</v>
      </c>
      <c r="P63">
        <v>2916</v>
      </c>
    </row>
    <row r="64" spans="1:16" x14ac:dyDescent="0.35">
      <c r="A64">
        <v>184</v>
      </c>
      <c r="B64">
        <v>1949</v>
      </c>
      <c r="C64" t="str">
        <f>IF(book_sales[[#This Row],[Publishing Year]]&lt;1900,"Classic (Before 1900)",IF(book_sales[[#This Row],[Publishing Year]]&lt;2000,"20th Century (1900-1999)","21st Century (2000+)"))</f>
        <v>20th Century (1900-1999)</v>
      </c>
      <c r="D64" t="s">
        <v>365</v>
      </c>
      <c r="E64" t="s">
        <v>366</v>
      </c>
      <c r="F64" t="s">
        <v>23</v>
      </c>
      <c r="G64" t="s">
        <v>18</v>
      </c>
      <c r="H64">
        <v>3.49</v>
      </c>
      <c r="I64">
        <v>132061</v>
      </c>
      <c r="J64" t="s">
        <v>19</v>
      </c>
      <c r="K64">
        <v>5433.18</v>
      </c>
      <c r="L64">
        <v>3259.9079999999999</v>
      </c>
      <c r="M64">
        <v>10.91</v>
      </c>
      <c r="N64">
        <v>201</v>
      </c>
      <c r="O64" t="s">
        <v>34</v>
      </c>
      <c r="P64">
        <v>498</v>
      </c>
    </row>
    <row r="65" spans="1:16" x14ac:dyDescent="0.35">
      <c r="A65">
        <v>337</v>
      </c>
      <c r="B65">
        <v>1945</v>
      </c>
      <c r="C65" t="str">
        <f>IF(book_sales[[#This Row],[Publishing Year]]&lt;1900,"Classic (Before 1900)",IF(book_sales[[#This Row],[Publishing Year]]&lt;2000,"20th Century (1900-1999)","21st Century (2000+)"))</f>
        <v>20th Century (1900-1999)</v>
      </c>
      <c r="D65" t="s">
        <v>638</v>
      </c>
      <c r="E65" t="s">
        <v>639</v>
      </c>
      <c r="F65" t="s">
        <v>23</v>
      </c>
      <c r="G65" t="s">
        <v>532</v>
      </c>
      <c r="H65">
        <v>4.1100000000000003</v>
      </c>
      <c r="I65">
        <v>123065</v>
      </c>
      <c r="J65" t="s">
        <v>19</v>
      </c>
      <c r="K65">
        <v>977.55</v>
      </c>
      <c r="L65">
        <v>586.53</v>
      </c>
      <c r="M65">
        <v>3.99</v>
      </c>
      <c r="N65">
        <v>360</v>
      </c>
      <c r="O65" t="s">
        <v>27</v>
      </c>
      <c r="P65">
        <v>245</v>
      </c>
    </row>
    <row r="66" spans="1:16" x14ac:dyDescent="0.35">
      <c r="A66">
        <v>1046</v>
      </c>
      <c r="B66">
        <v>2014</v>
      </c>
      <c r="C66" t="str">
        <f>IF(book_sales[[#This Row],[Publishing Year]]&lt;1900,"Classic (Before 1900)",IF(book_sales[[#This Row],[Publishing Year]]&lt;2000,"20th Century (1900-1999)","21st Century (2000+)"))</f>
        <v>21st Century (2000+)</v>
      </c>
      <c r="D66" t="s">
        <v>1768</v>
      </c>
      <c r="E66" t="s">
        <v>1769</v>
      </c>
      <c r="F66" t="s">
        <v>23</v>
      </c>
      <c r="G66" t="s">
        <v>53</v>
      </c>
      <c r="H66">
        <v>4.4000000000000004</v>
      </c>
      <c r="I66">
        <v>56510</v>
      </c>
      <c r="J66" t="s">
        <v>19</v>
      </c>
      <c r="K66">
        <v>319.93</v>
      </c>
      <c r="L66">
        <v>0</v>
      </c>
      <c r="M66">
        <v>2.99</v>
      </c>
      <c r="N66">
        <v>1237</v>
      </c>
      <c r="O66" t="s">
        <v>27</v>
      </c>
      <c r="P66">
        <v>107</v>
      </c>
    </row>
    <row r="67" spans="1:16" x14ac:dyDescent="0.35">
      <c r="A67">
        <v>950</v>
      </c>
      <c r="B67">
        <v>2009</v>
      </c>
      <c r="C67" t="str">
        <f>IF(book_sales[[#This Row],[Publishing Year]]&lt;1900,"Classic (Before 1900)",IF(book_sales[[#This Row],[Publishing Year]]&lt;2000,"20th Century (1900-1999)","21st Century (2000+)"))</f>
        <v>21st Century (2000+)</v>
      </c>
      <c r="D67" t="s">
        <v>1622</v>
      </c>
      <c r="E67" t="s">
        <v>1623</v>
      </c>
      <c r="F67" t="s">
        <v>92</v>
      </c>
      <c r="G67" t="s">
        <v>18</v>
      </c>
      <c r="H67">
        <v>3.23</v>
      </c>
      <c r="I67">
        <v>63737</v>
      </c>
      <c r="J67" t="s">
        <v>41</v>
      </c>
      <c r="K67">
        <v>416.9</v>
      </c>
      <c r="L67">
        <v>250.14</v>
      </c>
      <c r="M67">
        <v>3.79</v>
      </c>
      <c r="N67">
        <v>1120</v>
      </c>
      <c r="O67" t="s">
        <v>20</v>
      </c>
      <c r="P67">
        <v>4280</v>
      </c>
    </row>
    <row r="68" spans="1:16" x14ac:dyDescent="0.35">
      <c r="A68">
        <v>571</v>
      </c>
      <c r="B68">
        <v>2003</v>
      </c>
      <c r="C68" t="str">
        <f>IF(book_sales[[#This Row],[Publishing Year]]&lt;1900,"Classic (Before 1900)",IF(book_sales[[#This Row],[Publishing Year]]&lt;2000,"20th Century (1900-1999)","21st Century (2000+)"))</f>
        <v>21st Century (2000+)</v>
      </c>
      <c r="D68" t="s">
        <v>1034</v>
      </c>
      <c r="E68" t="s">
        <v>1035</v>
      </c>
      <c r="F68" t="s">
        <v>23</v>
      </c>
      <c r="G68" t="s">
        <v>532</v>
      </c>
      <c r="H68">
        <v>4.01</v>
      </c>
      <c r="I68">
        <v>70550</v>
      </c>
      <c r="J68" t="s">
        <v>608</v>
      </c>
      <c r="K68">
        <v>1448.55</v>
      </c>
      <c r="L68">
        <v>869.13</v>
      </c>
      <c r="M68">
        <v>9.99</v>
      </c>
      <c r="N68">
        <v>635</v>
      </c>
      <c r="O68" t="s">
        <v>27</v>
      </c>
      <c r="P68">
        <v>3915</v>
      </c>
    </row>
    <row r="69" spans="1:16" x14ac:dyDescent="0.35">
      <c r="A69">
        <v>610</v>
      </c>
      <c r="B69">
        <v>2010</v>
      </c>
      <c r="C69" t="str">
        <f>IF(book_sales[[#This Row],[Publishing Year]]&lt;1900,"Classic (Before 1900)",IF(book_sales[[#This Row],[Publishing Year]]&lt;2000,"20th Century (1900-1999)","21st Century (2000+)"))</f>
        <v>21st Century (2000+)</v>
      </c>
      <c r="D69" t="s">
        <v>1093</v>
      </c>
      <c r="E69" t="s">
        <v>1094</v>
      </c>
      <c r="F69" t="s">
        <v>17</v>
      </c>
      <c r="G69" t="s">
        <v>24</v>
      </c>
      <c r="H69">
        <v>3.86</v>
      </c>
      <c r="I69">
        <v>93625</v>
      </c>
      <c r="J69" t="s">
        <v>19</v>
      </c>
      <c r="K69">
        <v>130.68</v>
      </c>
      <c r="L69">
        <v>78.408000000000001</v>
      </c>
      <c r="M69">
        <v>0.99</v>
      </c>
      <c r="N69">
        <v>694</v>
      </c>
      <c r="O69" t="s">
        <v>27</v>
      </c>
      <c r="P69">
        <v>50328</v>
      </c>
    </row>
    <row r="70" spans="1:16" x14ac:dyDescent="0.35">
      <c r="A70">
        <v>984</v>
      </c>
      <c r="B70">
        <v>2006</v>
      </c>
      <c r="C70" t="str">
        <f>IF(book_sales[[#This Row],[Publishing Year]]&lt;1900,"Classic (Before 1900)",IF(book_sales[[#This Row],[Publishing Year]]&lt;2000,"20th Century (1900-1999)","21st Century (2000+)"))</f>
        <v>21st Century (2000+)</v>
      </c>
      <c r="D70" t="s">
        <v>1673</v>
      </c>
      <c r="E70" t="s">
        <v>1674</v>
      </c>
      <c r="F70" t="s">
        <v>23</v>
      </c>
      <c r="G70" t="s">
        <v>532</v>
      </c>
      <c r="H70">
        <v>4.2</v>
      </c>
      <c r="I70">
        <v>58432</v>
      </c>
      <c r="J70" t="s">
        <v>19</v>
      </c>
      <c r="K70">
        <v>107.91</v>
      </c>
      <c r="L70">
        <v>0</v>
      </c>
      <c r="M70">
        <v>0.99</v>
      </c>
      <c r="N70">
        <v>1161</v>
      </c>
      <c r="O70" t="s">
        <v>27</v>
      </c>
      <c r="P70">
        <v>109</v>
      </c>
    </row>
    <row r="71" spans="1:16" x14ac:dyDescent="0.35">
      <c r="A71">
        <v>372</v>
      </c>
      <c r="B71">
        <v>1938</v>
      </c>
      <c r="C71" t="str">
        <f>IF(book_sales[[#This Row],[Publishing Year]]&lt;1900,"Classic (Before 1900)",IF(book_sales[[#This Row],[Publishing Year]]&lt;2000,"20th Century (1900-1999)","21st Century (2000+)"))</f>
        <v>20th Century (1900-1999)</v>
      </c>
      <c r="D71" t="s">
        <v>699</v>
      </c>
      <c r="E71" t="s">
        <v>700</v>
      </c>
      <c r="F71" t="s">
        <v>23</v>
      </c>
      <c r="G71" t="s">
        <v>24</v>
      </c>
      <c r="H71">
        <v>3.62</v>
      </c>
      <c r="I71">
        <v>95620</v>
      </c>
      <c r="J71" t="s">
        <v>19</v>
      </c>
      <c r="K71">
        <v>1112.77</v>
      </c>
      <c r="L71">
        <v>0</v>
      </c>
      <c r="M71">
        <v>4.99</v>
      </c>
      <c r="N71">
        <v>403</v>
      </c>
      <c r="O71" t="s">
        <v>27</v>
      </c>
      <c r="P71">
        <v>6021</v>
      </c>
    </row>
    <row r="72" spans="1:16" x14ac:dyDescent="0.35">
      <c r="A72">
        <v>385</v>
      </c>
      <c r="B72">
        <v>2003</v>
      </c>
      <c r="C72" t="str">
        <f>IF(book_sales[[#This Row],[Publishing Year]]&lt;1900,"Classic (Before 1900)",IF(book_sales[[#This Row],[Publishing Year]]&lt;2000,"20th Century (1900-1999)","21st Century (2000+)"))</f>
        <v>21st Century (2000+)</v>
      </c>
      <c r="D72" t="s">
        <v>722</v>
      </c>
      <c r="E72" t="s">
        <v>723</v>
      </c>
      <c r="F72" t="s">
        <v>23</v>
      </c>
      <c r="G72" t="s">
        <v>24</v>
      </c>
      <c r="H72">
        <v>3.57</v>
      </c>
      <c r="I72">
        <v>94696</v>
      </c>
      <c r="J72" t="s">
        <v>19</v>
      </c>
      <c r="K72">
        <v>1072.8499999999999</v>
      </c>
      <c r="L72">
        <v>0</v>
      </c>
      <c r="M72">
        <v>4.99</v>
      </c>
      <c r="N72">
        <v>419</v>
      </c>
      <c r="O72" t="s">
        <v>27</v>
      </c>
      <c r="P72">
        <v>5805</v>
      </c>
    </row>
    <row r="73" spans="1:16" x14ac:dyDescent="0.35">
      <c r="A73">
        <v>515</v>
      </c>
      <c r="B73">
        <v>2015</v>
      </c>
      <c r="C73" t="str">
        <f>IF(book_sales[[#This Row],[Publishing Year]]&lt;1900,"Classic (Before 1900)",IF(book_sales[[#This Row],[Publishing Year]]&lt;2000,"20th Century (1900-1999)","21st Century (2000+)"))</f>
        <v>21st Century (2000+)</v>
      </c>
      <c r="D73" t="s">
        <v>938</v>
      </c>
      <c r="E73" t="s">
        <v>939</v>
      </c>
      <c r="F73" t="s">
        <v>23</v>
      </c>
      <c r="G73" t="s">
        <v>24</v>
      </c>
      <c r="H73">
        <v>3.85</v>
      </c>
      <c r="I73">
        <v>94231</v>
      </c>
      <c r="J73" t="s">
        <v>19</v>
      </c>
      <c r="K73">
        <v>157.41</v>
      </c>
      <c r="L73">
        <v>0</v>
      </c>
      <c r="M73">
        <v>0.99</v>
      </c>
      <c r="N73">
        <v>571</v>
      </c>
      <c r="O73" t="s">
        <v>27</v>
      </c>
      <c r="P73">
        <v>4293</v>
      </c>
    </row>
    <row r="74" spans="1:16" x14ac:dyDescent="0.35">
      <c r="A74">
        <v>1020</v>
      </c>
      <c r="B74">
        <v>2016</v>
      </c>
      <c r="C74" t="str">
        <f>IF(book_sales[[#This Row],[Publishing Year]]&lt;1900,"Classic (Before 1900)",IF(book_sales[[#This Row],[Publishing Year]]&lt;2000,"20th Century (1900-1999)","21st Century (2000+)"))</f>
        <v>21st Century (2000+)</v>
      </c>
      <c r="D74" t="s">
        <v>1728</v>
      </c>
      <c r="E74" t="s">
        <v>1729</v>
      </c>
      <c r="F74" t="s">
        <v>23</v>
      </c>
      <c r="G74" t="s">
        <v>24</v>
      </c>
      <c r="H74">
        <v>3.93</v>
      </c>
      <c r="I74">
        <v>57865</v>
      </c>
      <c r="J74" t="s">
        <v>30</v>
      </c>
      <c r="K74">
        <v>919.13</v>
      </c>
      <c r="L74">
        <v>551.47799999999995</v>
      </c>
      <c r="M74">
        <v>8.59</v>
      </c>
      <c r="N74">
        <v>1201</v>
      </c>
      <c r="O74" t="s">
        <v>34</v>
      </c>
      <c r="P74">
        <v>107</v>
      </c>
    </row>
    <row r="75" spans="1:16" x14ac:dyDescent="0.35">
      <c r="A75">
        <v>128</v>
      </c>
      <c r="B75">
        <v>1995</v>
      </c>
      <c r="C75" t="str">
        <f>IF(book_sales[[#This Row],[Publishing Year]]&lt;1900,"Classic (Before 1900)",IF(book_sales[[#This Row],[Publishing Year]]&lt;2000,"20th Century (1900-1999)","21st Century (2000+)"))</f>
        <v>20th Century (1900-1999)</v>
      </c>
      <c r="D75" t="s">
        <v>269</v>
      </c>
      <c r="E75" t="s">
        <v>270</v>
      </c>
      <c r="F75" t="s">
        <v>23</v>
      </c>
      <c r="G75" t="s">
        <v>24</v>
      </c>
      <c r="H75">
        <v>3.81</v>
      </c>
      <c r="I75">
        <v>128961</v>
      </c>
      <c r="J75" t="s">
        <v>41</v>
      </c>
      <c r="K75">
        <v>1641.75</v>
      </c>
      <c r="L75">
        <v>985.05</v>
      </c>
      <c r="M75">
        <v>1.99</v>
      </c>
      <c r="N75">
        <v>135</v>
      </c>
      <c r="O75" t="s">
        <v>20</v>
      </c>
      <c r="P75">
        <v>825</v>
      </c>
    </row>
    <row r="76" spans="1:16" x14ac:dyDescent="0.35">
      <c r="A76">
        <v>159</v>
      </c>
      <c r="B76">
        <v>2006</v>
      </c>
      <c r="C76" t="str">
        <f>IF(book_sales[[#This Row],[Publishing Year]]&lt;1900,"Classic (Before 1900)",IF(book_sales[[#This Row],[Publishing Year]]&lt;2000,"20th Century (1900-1999)","21st Century (2000+)"))</f>
        <v>21st Century (2000+)</v>
      </c>
      <c r="D76" t="s">
        <v>322</v>
      </c>
      <c r="E76" t="s">
        <v>270</v>
      </c>
      <c r="F76" t="s">
        <v>17</v>
      </c>
      <c r="G76" t="s">
        <v>24</v>
      </c>
      <c r="H76">
        <v>3.69</v>
      </c>
      <c r="I76">
        <v>110873</v>
      </c>
      <c r="J76" t="s">
        <v>19</v>
      </c>
      <c r="K76">
        <v>3243.5</v>
      </c>
      <c r="L76">
        <v>0</v>
      </c>
      <c r="M76">
        <v>4.99</v>
      </c>
      <c r="N76">
        <v>170</v>
      </c>
      <c r="O76" t="s">
        <v>27</v>
      </c>
      <c r="P76">
        <v>650</v>
      </c>
    </row>
    <row r="77" spans="1:16" x14ac:dyDescent="0.35">
      <c r="A77">
        <v>329</v>
      </c>
      <c r="B77">
        <v>1988</v>
      </c>
      <c r="C77" t="str">
        <f>IF(book_sales[[#This Row],[Publishing Year]]&lt;1900,"Classic (Before 1900)",IF(book_sales[[#This Row],[Publishing Year]]&lt;2000,"20th Century (1900-1999)","21st Century (2000+)"))</f>
        <v>20th Century (1900-1999)</v>
      </c>
      <c r="D77" t="s">
        <v>624</v>
      </c>
      <c r="E77" t="s">
        <v>625</v>
      </c>
      <c r="F77" t="s">
        <v>23</v>
      </c>
      <c r="G77" t="s">
        <v>24</v>
      </c>
      <c r="H77">
        <v>3.94</v>
      </c>
      <c r="I77">
        <v>105032</v>
      </c>
      <c r="J77" t="s">
        <v>608</v>
      </c>
      <c r="K77">
        <v>1635.93</v>
      </c>
      <c r="L77">
        <v>981.55799999999999</v>
      </c>
      <c r="M77">
        <v>6.57</v>
      </c>
      <c r="N77">
        <v>352</v>
      </c>
      <c r="O77" t="s">
        <v>27</v>
      </c>
      <c r="P77">
        <v>249</v>
      </c>
    </row>
    <row r="78" spans="1:16" x14ac:dyDescent="0.35">
      <c r="A78">
        <v>613</v>
      </c>
      <c r="B78">
        <v>2000</v>
      </c>
      <c r="C78" t="str">
        <f>IF(book_sales[[#This Row],[Publishing Year]]&lt;1900,"Classic (Before 1900)",IF(book_sales[[#This Row],[Publishing Year]]&lt;2000,"20th Century (1900-1999)","21st Century (2000+)"))</f>
        <v>21st Century (2000+)</v>
      </c>
      <c r="D78" t="s">
        <v>1099</v>
      </c>
      <c r="E78" t="s">
        <v>625</v>
      </c>
      <c r="F78" t="s">
        <v>17</v>
      </c>
      <c r="G78" t="s">
        <v>24</v>
      </c>
      <c r="H78">
        <v>3.98</v>
      </c>
      <c r="I78">
        <v>78529</v>
      </c>
      <c r="J78" t="s">
        <v>19</v>
      </c>
      <c r="K78">
        <v>260.69</v>
      </c>
      <c r="L78">
        <v>156.41399999999999</v>
      </c>
      <c r="M78">
        <v>1.99</v>
      </c>
      <c r="N78">
        <v>696</v>
      </c>
      <c r="O78" t="s">
        <v>66</v>
      </c>
      <c r="P78">
        <v>49896</v>
      </c>
    </row>
    <row r="79" spans="1:16" x14ac:dyDescent="0.35">
      <c r="A79">
        <v>924</v>
      </c>
      <c r="B79">
        <v>2012</v>
      </c>
      <c r="C79" t="str">
        <f>IF(book_sales[[#This Row],[Publishing Year]]&lt;1900,"Classic (Before 1900)",IF(book_sales[[#This Row],[Publishing Year]]&lt;2000,"20th Century (1900-1999)","21st Century (2000+)"))</f>
        <v>21st Century (2000+)</v>
      </c>
      <c r="D79" t="s">
        <v>1580</v>
      </c>
      <c r="E79" t="s">
        <v>625</v>
      </c>
      <c r="F79" t="s">
        <v>23</v>
      </c>
      <c r="G79" t="s">
        <v>24</v>
      </c>
      <c r="H79">
        <v>3.75</v>
      </c>
      <c r="I79">
        <v>57078</v>
      </c>
      <c r="J79" t="s">
        <v>19</v>
      </c>
      <c r="K79">
        <v>109.89</v>
      </c>
      <c r="L79">
        <v>65.933999999999997</v>
      </c>
      <c r="M79">
        <v>0.99</v>
      </c>
      <c r="N79">
        <v>1085</v>
      </c>
      <c r="O79" t="s">
        <v>27</v>
      </c>
      <c r="P79">
        <v>4360</v>
      </c>
    </row>
    <row r="80" spans="1:16" x14ac:dyDescent="0.35">
      <c r="A80">
        <v>490</v>
      </c>
      <c r="B80">
        <v>2007</v>
      </c>
      <c r="C80" t="str">
        <f>IF(book_sales[[#This Row],[Publishing Year]]&lt;1900,"Classic (Before 1900)",IF(book_sales[[#This Row],[Publishing Year]]&lt;2000,"20th Century (1900-1999)","21st Century (2000+)"))</f>
        <v>21st Century (2000+)</v>
      </c>
      <c r="D80" t="s">
        <v>899</v>
      </c>
      <c r="E80" t="s">
        <v>900</v>
      </c>
      <c r="F80" t="s">
        <v>17</v>
      </c>
      <c r="G80" t="s">
        <v>532</v>
      </c>
      <c r="H80">
        <v>4.03</v>
      </c>
      <c r="I80">
        <v>83881</v>
      </c>
      <c r="J80" t="s">
        <v>19</v>
      </c>
      <c r="K80">
        <v>823.35</v>
      </c>
      <c r="L80">
        <v>494.01</v>
      </c>
      <c r="M80">
        <v>4.99</v>
      </c>
      <c r="N80">
        <v>542</v>
      </c>
      <c r="O80" t="s">
        <v>27</v>
      </c>
      <c r="P80">
        <v>4455</v>
      </c>
    </row>
    <row r="81" spans="1:16" x14ac:dyDescent="0.35">
      <c r="A81">
        <v>70</v>
      </c>
      <c r="B81">
        <v>1901</v>
      </c>
      <c r="C81" t="str">
        <f>IF(book_sales[[#This Row],[Publishing Year]]&lt;1900,"Classic (Before 1900)",IF(book_sales[[#This Row],[Publishing Year]]&lt;2000,"20th Century (1900-1999)","21st Century (2000+)"))</f>
        <v>20th Century (1900-1999)</v>
      </c>
      <c r="D81" t="s">
        <v>167</v>
      </c>
      <c r="E81" t="s">
        <v>168</v>
      </c>
      <c r="F81" t="s">
        <v>23</v>
      </c>
      <c r="G81" t="s">
        <v>24</v>
      </c>
      <c r="H81">
        <v>4.17</v>
      </c>
      <c r="I81">
        <v>162373</v>
      </c>
      <c r="J81" t="s">
        <v>19</v>
      </c>
      <c r="K81">
        <v>9890.85</v>
      </c>
      <c r="L81">
        <v>5934.51</v>
      </c>
      <c r="M81">
        <v>6.99</v>
      </c>
      <c r="N81">
        <v>73</v>
      </c>
      <c r="O81" t="s">
        <v>34</v>
      </c>
      <c r="P81">
        <v>1415</v>
      </c>
    </row>
    <row r="82" spans="1:16" x14ac:dyDescent="0.35">
      <c r="A82">
        <v>52</v>
      </c>
      <c r="B82">
        <v>2011</v>
      </c>
      <c r="C82" t="str">
        <f>IF(book_sales[[#This Row],[Publishing Year]]&lt;1900,"Classic (Before 1900)",IF(book_sales[[#This Row],[Publishing Year]]&lt;2000,"20th Century (1900-1999)","21st Century (2000+)"))</f>
        <v>21st Century (2000+)</v>
      </c>
      <c r="D82" t="s">
        <v>129</v>
      </c>
      <c r="E82" t="s">
        <v>130</v>
      </c>
      <c r="F82" t="s">
        <v>23</v>
      </c>
      <c r="G82" t="s">
        <v>24</v>
      </c>
      <c r="H82">
        <v>4.16</v>
      </c>
      <c r="I82">
        <v>190722</v>
      </c>
      <c r="J82" t="s">
        <v>19</v>
      </c>
      <c r="K82">
        <v>8517.93</v>
      </c>
      <c r="L82">
        <v>0</v>
      </c>
      <c r="M82">
        <v>4.99</v>
      </c>
      <c r="N82">
        <v>54</v>
      </c>
      <c r="O82" t="s">
        <v>27</v>
      </c>
      <c r="P82">
        <v>1707</v>
      </c>
    </row>
    <row r="83" spans="1:16" x14ac:dyDescent="0.35">
      <c r="A83">
        <v>591</v>
      </c>
      <c r="B83">
        <v>2012</v>
      </c>
      <c r="C83" t="str">
        <f>IF(book_sales[[#This Row],[Publishing Year]]&lt;1900,"Classic (Before 1900)",IF(book_sales[[#This Row],[Publishing Year]]&lt;2000,"20th Century (1900-1999)","21st Century (2000+)"))</f>
        <v>21st Century (2000+)</v>
      </c>
      <c r="D83" t="s">
        <v>1064</v>
      </c>
      <c r="E83" t="s">
        <v>130</v>
      </c>
      <c r="F83" t="s">
        <v>23</v>
      </c>
      <c r="G83" t="s">
        <v>532</v>
      </c>
      <c r="H83">
        <v>4.22</v>
      </c>
      <c r="I83">
        <v>107569</v>
      </c>
      <c r="J83" t="s">
        <v>19</v>
      </c>
      <c r="K83">
        <v>1516.62</v>
      </c>
      <c r="L83">
        <v>909.97199999999998</v>
      </c>
      <c r="M83">
        <v>10.99</v>
      </c>
      <c r="N83">
        <v>666</v>
      </c>
      <c r="O83" t="s">
        <v>34</v>
      </c>
      <c r="P83">
        <v>53784</v>
      </c>
    </row>
    <row r="84" spans="1:16" x14ac:dyDescent="0.35">
      <c r="A84">
        <v>672</v>
      </c>
      <c r="B84">
        <v>2012</v>
      </c>
      <c r="C84" t="str">
        <f>IF(book_sales[[#This Row],[Publishing Year]]&lt;1900,"Classic (Before 1900)",IF(book_sales[[#This Row],[Publishing Year]]&lt;2000,"20th Century (1900-1999)","21st Century (2000+)"))</f>
        <v>21st Century (2000+)</v>
      </c>
      <c r="D84" t="s">
        <v>1197</v>
      </c>
      <c r="E84" t="s">
        <v>1198</v>
      </c>
      <c r="G84" t="s">
        <v>532</v>
      </c>
      <c r="H84">
        <v>4.34</v>
      </c>
      <c r="I84">
        <v>108884</v>
      </c>
      <c r="J84" t="s">
        <v>30</v>
      </c>
      <c r="K84">
        <v>1082.9000000000001</v>
      </c>
      <c r="L84">
        <v>649.74</v>
      </c>
      <c r="M84">
        <v>9.1</v>
      </c>
      <c r="N84">
        <v>770</v>
      </c>
      <c r="O84" t="s">
        <v>27</v>
      </c>
      <c r="P84">
        <v>38232</v>
      </c>
    </row>
    <row r="85" spans="1:16" x14ac:dyDescent="0.35">
      <c r="A85">
        <v>637</v>
      </c>
      <c r="B85">
        <v>1982</v>
      </c>
      <c r="C85" t="str">
        <f>IF(book_sales[[#This Row],[Publishing Year]]&lt;1900,"Classic (Before 1900)",IF(book_sales[[#This Row],[Publishing Year]]&lt;2000,"20th Century (1900-1999)","21st Century (2000+)"))</f>
        <v>20th Century (1900-1999)</v>
      </c>
      <c r="D85" t="s">
        <v>1138</v>
      </c>
      <c r="E85" t="s">
        <v>1139</v>
      </c>
      <c r="F85" t="s">
        <v>23</v>
      </c>
      <c r="G85" t="s">
        <v>532</v>
      </c>
      <c r="H85">
        <v>4.01</v>
      </c>
      <c r="I85">
        <v>69975</v>
      </c>
      <c r="J85" t="s">
        <v>19</v>
      </c>
      <c r="K85">
        <v>1198.75</v>
      </c>
      <c r="L85">
        <v>719.25</v>
      </c>
      <c r="M85">
        <v>9.59</v>
      </c>
      <c r="N85">
        <v>724</v>
      </c>
      <c r="O85" t="s">
        <v>20</v>
      </c>
      <c r="P85">
        <v>46008</v>
      </c>
    </row>
    <row r="86" spans="1:16" x14ac:dyDescent="0.35">
      <c r="A86">
        <v>196</v>
      </c>
      <c r="B86">
        <v>1995</v>
      </c>
      <c r="C86" t="str">
        <f>IF(book_sales[[#This Row],[Publishing Year]]&lt;1900,"Classic (Before 1900)",IF(book_sales[[#This Row],[Publishing Year]]&lt;2000,"20th Century (1900-1999)","21st Century (2000+)"))</f>
        <v>20th Century (1900-1999)</v>
      </c>
      <c r="D86" t="s">
        <v>384</v>
      </c>
      <c r="E86" t="s">
        <v>385</v>
      </c>
      <c r="F86" t="s">
        <v>23</v>
      </c>
      <c r="G86" t="s">
        <v>24</v>
      </c>
      <c r="H86">
        <v>3.73</v>
      </c>
      <c r="I86">
        <v>119911</v>
      </c>
      <c r="J86" t="s">
        <v>19</v>
      </c>
      <c r="K86">
        <v>1423.24</v>
      </c>
      <c r="L86">
        <v>0</v>
      </c>
      <c r="M86">
        <v>2.99</v>
      </c>
      <c r="N86">
        <v>214</v>
      </c>
      <c r="O86" t="s">
        <v>27</v>
      </c>
      <c r="P86">
        <v>476</v>
      </c>
    </row>
    <row r="87" spans="1:16" x14ac:dyDescent="0.35">
      <c r="A87">
        <v>1056</v>
      </c>
      <c r="B87">
        <v>2010</v>
      </c>
      <c r="C87" t="str">
        <f>IF(book_sales[[#This Row],[Publishing Year]]&lt;1900,"Classic (Before 1900)",IF(book_sales[[#This Row],[Publishing Year]]&lt;2000,"20th Century (1900-1999)","21st Century (2000+)"))</f>
        <v>21st Century (2000+)</v>
      </c>
      <c r="D87" t="s">
        <v>1785</v>
      </c>
      <c r="E87" t="s">
        <v>1786</v>
      </c>
      <c r="F87" t="s">
        <v>23</v>
      </c>
      <c r="G87" t="s">
        <v>24</v>
      </c>
      <c r="H87">
        <v>3.92</v>
      </c>
      <c r="I87">
        <v>54341</v>
      </c>
      <c r="J87" t="s">
        <v>19</v>
      </c>
      <c r="K87">
        <v>316.94</v>
      </c>
      <c r="L87">
        <v>0</v>
      </c>
      <c r="M87">
        <v>2.99</v>
      </c>
      <c r="N87">
        <v>1253</v>
      </c>
      <c r="O87" t="s">
        <v>27</v>
      </c>
      <c r="P87">
        <v>106</v>
      </c>
    </row>
    <row r="88" spans="1:16" x14ac:dyDescent="0.35">
      <c r="A88">
        <v>771</v>
      </c>
      <c r="B88">
        <v>2011</v>
      </c>
      <c r="C88" t="str">
        <f>IF(book_sales[[#This Row],[Publishing Year]]&lt;1900,"Classic (Before 1900)",IF(book_sales[[#This Row],[Publishing Year]]&lt;2000,"20th Century (1900-1999)","21st Century (2000+)"))</f>
        <v>21st Century (2000+)</v>
      </c>
      <c r="D88" t="s">
        <v>1352</v>
      </c>
      <c r="E88" t="s">
        <v>1353</v>
      </c>
      <c r="F88" t="s">
        <v>23</v>
      </c>
      <c r="G88" t="s">
        <v>24</v>
      </c>
      <c r="H88">
        <v>3.78</v>
      </c>
      <c r="I88">
        <v>94176</v>
      </c>
      <c r="J88" t="s">
        <v>19</v>
      </c>
      <c r="K88">
        <v>462.84</v>
      </c>
      <c r="L88">
        <v>0</v>
      </c>
      <c r="M88">
        <v>3.99</v>
      </c>
      <c r="N88">
        <v>892</v>
      </c>
      <c r="O88" t="s">
        <v>27</v>
      </c>
      <c r="P88">
        <v>29376</v>
      </c>
    </row>
    <row r="89" spans="1:16" x14ac:dyDescent="0.35">
      <c r="A89">
        <v>482</v>
      </c>
      <c r="B89">
        <v>1953</v>
      </c>
      <c r="C89" t="str">
        <f>IF(book_sales[[#This Row],[Publishing Year]]&lt;1900,"Classic (Before 1900)",IF(book_sales[[#This Row],[Publishing Year]]&lt;2000,"20th Century (1900-1999)","21st Century (2000+)"))</f>
        <v>20th Century (1900-1999)</v>
      </c>
      <c r="D89" t="s">
        <v>887</v>
      </c>
      <c r="E89" t="s">
        <v>888</v>
      </c>
      <c r="G89" t="s">
        <v>532</v>
      </c>
      <c r="H89">
        <v>4.1399999999999997</v>
      </c>
      <c r="I89">
        <v>93640</v>
      </c>
      <c r="J89" t="s">
        <v>41</v>
      </c>
      <c r="K89">
        <v>165.33</v>
      </c>
      <c r="L89">
        <v>0</v>
      </c>
      <c r="M89">
        <v>0.99</v>
      </c>
      <c r="N89">
        <v>534</v>
      </c>
      <c r="O89" t="s">
        <v>27</v>
      </c>
      <c r="P89">
        <v>4509</v>
      </c>
    </row>
    <row r="90" spans="1:16" x14ac:dyDescent="0.35">
      <c r="A90">
        <v>1059</v>
      </c>
      <c r="B90">
        <v>1955</v>
      </c>
      <c r="C90" t="str">
        <f>IF(book_sales[[#This Row],[Publishing Year]]&lt;1900,"Classic (Before 1900)",IF(book_sales[[#This Row],[Publishing Year]]&lt;2000,"20th Century (1900-1999)","21st Century (2000+)"))</f>
        <v>20th Century (1900-1999)</v>
      </c>
      <c r="D90" t="s">
        <v>1789</v>
      </c>
      <c r="E90" t="s">
        <v>1790</v>
      </c>
      <c r="G90" t="s">
        <v>24</v>
      </c>
      <c r="H90">
        <v>3.97</v>
      </c>
      <c r="I90">
        <v>75987</v>
      </c>
      <c r="J90" t="s">
        <v>19</v>
      </c>
      <c r="K90">
        <v>740.94</v>
      </c>
      <c r="L90">
        <v>444.56400000000002</v>
      </c>
      <c r="M90">
        <v>6.99</v>
      </c>
      <c r="N90">
        <v>1257</v>
      </c>
      <c r="O90" t="s">
        <v>46</v>
      </c>
      <c r="P90">
        <v>106</v>
      </c>
    </row>
    <row r="91" spans="1:16" x14ac:dyDescent="0.35">
      <c r="A91">
        <v>918</v>
      </c>
      <c r="B91">
        <v>1995</v>
      </c>
      <c r="C91" t="str">
        <f>IF(book_sales[[#This Row],[Publishing Year]]&lt;1900,"Classic (Before 1900)",IF(book_sales[[#This Row],[Publishing Year]]&lt;2000,"20th Century (1900-1999)","21st Century (2000+)"))</f>
        <v>20th Century (1900-1999)</v>
      </c>
      <c r="D91" t="s">
        <v>1570</v>
      </c>
      <c r="E91" t="s">
        <v>1571</v>
      </c>
      <c r="F91" t="s">
        <v>23</v>
      </c>
      <c r="G91" t="s">
        <v>24</v>
      </c>
      <c r="H91">
        <v>3.91</v>
      </c>
      <c r="I91">
        <v>66947</v>
      </c>
      <c r="J91" t="s">
        <v>19</v>
      </c>
      <c r="K91">
        <v>442.89</v>
      </c>
      <c r="L91">
        <v>0</v>
      </c>
      <c r="M91">
        <v>3.99</v>
      </c>
      <c r="N91">
        <v>1076</v>
      </c>
      <c r="O91" t="s">
        <v>27</v>
      </c>
      <c r="P91">
        <v>4360</v>
      </c>
    </row>
    <row r="92" spans="1:16" x14ac:dyDescent="0.35">
      <c r="A92">
        <v>929</v>
      </c>
      <c r="B92">
        <v>2000</v>
      </c>
      <c r="C92" t="str">
        <f>IF(book_sales[[#This Row],[Publishing Year]]&lt;1900,"Classic (Before 1900)",IF(book_sales[[#This Row],[Publishing Year]]&lt;2000,"20th Century (1900-1999)","21st Century (2000+)"))</f>
        <v>21st Century (2000+)</v>
      </c>
      <c r="D92" t="s">
        <v>1587</v>
      </c>
      <c r="E92" t="s">
        <v>1571</v>
      </c>
      <c r="F92" t="s">
        <v>23</v>
      </c>
      <c r="G92" t="s">
        <v>532</v>
      </c>
      <c r="H92">
        <v>4.05</v>
      </c>
      <c r="I92">
        <v>58688</v>
      </c>
      <c r="J92" t="s">
        <v>19</v>
      </c>
      <c r="K92">
        <v>438.9</v>
      </c>
      <c r="L92">
        <v>0</v>
      </c>
      <c r="M92">
        <v>3.99</v>
      </c>
      <c r="N92">
        <v>1093</v>
      </c>
      <c r="O92" t="s">
        <v>27</v>
      </c>
      <c r="P92">
        <v>4320</v>
      </c>
    </row>
    <row r="93" spans="1:16" x14ac:dyDescent="0.35">
      <c r="A93">
        <v>197</v>
      </c>
      <c r="B93">
        <v>1967</v>
      </c>
      <c r="C93" t="str">
        <f>IF(book_sales[[#This Row],[Publishing Year]]&lt;1900,"Classic (Before 1900)",IF(book_sales[[#This Row],[Publishing Year]]&lt;2000,"20th Century (1900-1999)","21st Century (2000+)"))</f>
        <v>20th Century (1900-1999)</v>
      </c>
      <c r="D93" t="s">
        <v>386</v>
      </c>
      <c r="E93" t="s">
        <v>387</v>
      </c>
      <c r="F93" t="s">
        <v>23</v>
      </c>
      <c r="G93" t="s">
        <v>24</v>
      </c>
      <c r="H93">
        <v>4.1900000000000004</v>
      </c>
      <c r="I93">
        <v>125668</v>
      </c>
      <c r="J93" t="s">
        <v>19</v>
      </c>
      <c r="K93">
        <v>2375.2399999999998</v>
      </c>
      <c r="L93">
        <v>1425.144</v>
      </c>
      <c r="M93">
        <v>4.99</v>
      </c>
      <c r="N93">
        <v>214</v>
      </c>
      <c r="O93" t="s">
        <v>31</v>
      </c>
      <c r="P93">
        <v>476</v>
      </c>
    </row>
    <row r="94" spans="1:16" x14ac:dyDescent="0.35">
      <c r="A94">
        <v>313</v>
      </c>
      <c r="B94">
        <v>1989</v>
      </c>
      <c r="C94" t="str">
        <f>IF(book_sales[[#This Row],[Publishing Year]]&lt;1900,"Classic (Before 1900)",IF(book_sales[[#This Row],[Publishing Year]]&lt;2000,"20th Century (1900-1999)","21st Century (2000+)"))</f>
        <v>20th Century (1900-1999)</v>
      </c>
      <c r="D94" t="s">
        <v>592</v>
      </c>
      <c r="E94" t="s">
        <v>593</v>
      </c>
      <c r="F94" t="s">
        <v>23</v>
      </c>
      <c r="G94" t="s">
        <v>532</v>
      </c>
      <c r="H94">
        <v>4.21</v>
      </c>
      <c r="I94">
        <v>105192</v>
      </c>
      <c r="J94" t="s">
        <v>30</v>
      </c>
      <c r="K94">
        <v>1097.25</v>
      </c>
      <c r="L94">
        <v>658.35</v>
      </c>
      <c r="M94">
        <v>3.99</v>
      </c>
      <c r="N94">
        <v>335</v>
      </c>
      <c r="O94" t="s">
        <v>66</v>
      </c>
      <c r="P94">
        <v>275</v>
      </c>
    </row>
    <row r="95" spans="1:16" x14ac:dyDescent="0.35">
      <c r="A95">
        <v>710</v>
      </c>
      <c r="B95">
        <v>2011</v>
      </c>
      <c r="C95" t="str">
        <f>IF(book_sales[[#This Row],[Publishing Year]]&lt;1900,"Classic (Before 1900)",IF(book_sales[[#This Row],[Publishing Year]]&lt;2000,"20th Century (1900-1999)","21st Century (2000+)"))</f>
        <v>21st Century (2000+)</v>
      </c>
      <c r="D95" t="s">
        <v>1256</v>
      </c>
      <c r="E95" t="s">
        <v>1257</v>
      </c>
      <c r="F95" t="s">
        <v>23</v>
      </c>
      <c r="G95" t="s">
        <v>532</v>
      </c>
      <c r="H95">
        <v>4.0199999999999996</v>
      </c>
      <c r="I95">
        <v>71868</v>
      </c>
      <c r="J95" t="s">
        <v>608</v>
      </c>
      <c r="K95">
        <v>872.02</v>
      </c>
      <c r="L95">
        <v>523.21199999999999</v>
      </c>
      <c r="M95">
        <v>7.39</v>
      </c>
      <c r="N95">
        <v>816</v>
      </c>
      <c r="O95" t="s">
        <v>27</v>
      </c>
      <c r="P95">
        <v>35208</v>
      </c>
    </row>
    <row r="96" spans="1:16" x14ac:dyDescent="0.35">
      <c r="A96">
        <v>479</v>
      </c>
      <c r="B96">
        <v>1988</v>
      </c>
      <c r="C96" t="str">
        <f>IF(book_sales[[#This Row],[Publishing Year]]&lt;1900,"Classic (Before 1900)",IF(book_sales[[#This Row],[Publishing Year]]&lt;2000,"20th Century (1900-1999)","21st Century (2000+)"))</f>
        <v>20th Century (1900-1999)</v>
      </c>
      <c r="D96" t="s">
        <v>883</v>
      </c>
      <c r="E96" t="s">
        <v>884</v>
      </c>
      <c r="F96" t="s">
        <v>17</v>
      </c>
      <c r="G96" t="s">
        <v>53</v>
      </c>
      <c r="H96">
        <v>4.6500000000000004</v>
      </c>
      <c r="I96">
        <v>93001</v>
      </c>
      <c r="J96" t="s">
        <v>19</v>
      </c>
      <c r="K96">
        <v>166.32</v>
      </c>
      <c r="L96">
        <v>0</v>
      </c>
      <c r="M96">
        <v>0.99</v>
      </c>
      <c r="N96">
        <v>530</v>
      </c>
      <c r="O96" t="s">
        <v>27</v>
      </c>
      <c r="P96">
        <v>4536</v>
      </c>
    </row>
    <row r="97" spans="1:16" x14ac:dyDescent="0.35">
      <c r="A97">
        <v>249</v>
      </c>
      <c r="B97">
        <v>1987</v>
      </c>
      <c r="C97" t="str">
        <f>IF(book_sales[[#This Row],[Publishing Year]]&lt;1900,"Classic (Before 1900)",IF(book_sales[[#This Row],[Publishing Year]]&lt;2000,"20th Century (1900-1999)","21st Century (2000+)"))</f>
        <v>20th Century (1900-1999)</v>
      </c>
      <c r="D97" t="s">
        <v>477</v>
      </c>
      <c r="E97" t="s">
        <v>478</v>
      </c>
      <c r="F97" t="s">
        <v>17</v>
      </c>
      <c r="G97" t="s">
        <v>53</v>
      </c>
      <c r="H97">
        <v>4.6100000000000003</v>
      </c>
      <c r="I97">
        <v>117788</v>
      </c>
      <c r="J97" t="s">
        <v>41</v>
      </c>
      <c r="K97">
        <v>1886.22</v>
      </c>
      <c r="L97">
        <v>1131.732</v>
      </c>
      <c r="M97">
        <v>4.99</v>
      </c>
      <c r="N97">
        <v>273</v>
      </c>
      <c r="O97" t="s">
        <v>34</v>
      </c>
      <c r="P97">
        <v>378</v>
      </c>
    </row>
    <row r="98" spans="1:16" x14ac:dyDescent="0.35">
      <c r="A98">
        <v>546</v>
      </c>
      <c r="B98">
        <v>2001</v>
      </c>
      <c r="C98" t="str">
        <f>IF(book_sales[[#This Row],[Publishing Year]]&lt;1900,"Classic (Before 1900)",IF(book_sales[[#This Row],[Publishing Year]]&lt;2000,"20th Century (1900-1999)","21st Century (2000+)"))</f>
        <v>21st Century (2000+)</v>
      </c>
      <c r="D98" t="s">
        <v>989</v>
      </c>
      <c r="E98" t="s">
        <v>990</v>
      </c>
      <c r="F98" t="s">
        <v>23</v>
      </c>
      <c r="G98" t="s">
        <v>24</v>
      </c>
      <c r="H98">
        <v>3.99</v>
      </c>
      <c r="I98">
        <v>101016</v>
      </c>
      <c r="J98" t="s">
        <v>19</v>
      </c>
      <c r="K98">
        <v>1125</v>
      </c>
      <c r="L98">
        <v>675</v>
      </c>
      <c r="M98">
        <v>7.5</v>
      </c>
      <c r="N98">
        <v>610</v>
      </c>
      <c r="O98" t="s">
        <v>34</v>
      </c>
      <c r="P98">
        <v>4050</v>
      </c>
    </row>
    <row r="99" spans="1:16" x14ac:dyDescent="0.35">
      <c r="A99">
        <v>279</v>
      </c>
      <c r="B99">
        <v>2003</v>
      </c>
      <c r="C99" t="str">
        <f>IF(book_sales[[#This Row],[Publishing Year]]&lt;1900,"Classic (Before 1900)",IF(book_sales[[#This Row],[Publishing Year]]&lt;2000,"20th Century (1900-1999)","21st Century (2000+)"))</f>
        <v>21st Century (2000+)</v>
      </c>
      <c r="D99" t="s">
        <v>530</v>
      </c>
      <c r="E99" t="s">
        <v>531</v>
      </c>
      <c r="F99" t="s">
        <v>23</v>
      </c>
      <c r="G99" t="s">
        <v>532</v>
      </c>
      <c r="H99">
        <v>4.3600000000000003</v>
      </c>
      <c r="I99">
        <v>113881</v>
      </c>
      <c r="J99" t="s">
        <v>19</v>
      </c>
      <c r="K99">
        <v>666.65</v>
      </c>
      <c r="L99">
        <v>399.99</v>
      </c>
      <c r="M99">
        <v>1.99</v>
      </c>
      <c r="N99">
        <v>299</v>
      </c>
      <c r="O99" t="s">
        <v>20</v>
      </c>
      <c r="P99">
        <v>335</v>
      </c>
    </row>
    <row r="100" spans="1:16" x14ac:dyDescent="0.35">
      <c r="A100">
        <v>1032</v>
      </c>
      <c r="B100">
        <v>2012</v>
      </c>
      <c r="C100" t="str">
        <f>IF(book_sales[[#This Row],[Publishing Year]]&lt;1900,"Classic (Before 1900)",IF(book_sales[[#This Row],[Publishing Year]]&lt;2000,"20th Century (1900-1999)","21st Century (2000+)"))</f>
        <v>21st Century (2000+)</v>
      </c>
      <c r="D100" t="s">
        <v>1744</v>
      </c>
      <c r="E100" t="s">
        <v>1745</v>
      </c>
      <c r="G100" t="s">
        <v>24</v>
      </c>
      <c r="H100">
        <v>3.88</v>
      </c>
      <c r="I100">
        <v>34789</v>
      </c>
      <c r="J100" t="s">
        <v>19</v>
      </c>
      <c r="K100">
        <v>105.93</v>
      </c>
      <c r="L100">
        <v>0</v>
      </c>
      <c r="M100">
        <v>0.99</v>
      </c>
      <c r="N100">
        <v>1218</v>
      </c>
      <c r="O100" t="s">
        <v>27</v>
      </c>
      <c r="P100">
        <v>107</v>
      </c>
    </row>
    <row r="101" spans="1:16" x14ac:dyDescent="0.35">
      <c r="A101">
        <v>1030</v>
      </c>
      <c r="B101">
        <v>1957</v>
      </c>
      <c r="C101" t="str">
        <f>IF(book_sales[[#This Row],[Publishing Year]]&lt;1900,"Classic (Before 1900)",IF(book_sales[[#This Row],[Publishing Year]]&lt;2000,"20th Century (1900-1999)","21st Century (2000+)"))</f>
        <v>20th Century (1900-1999)</v>
      </c>
      <c r="D101" t="s">
        <v>1742</v>
      </c>
      <c r="E101" t="s">
        <v>1743</v>
      </c>
      <c r="F101" t="s">
        <v>23</v>
      </c>
      <c r="G101" t="s">
        <v>532</v>
      </c>
      <c r="H101">
        <v>4.03</v>
      </c>
      <c r="I101">
        <v>59973</v>
      </c>
      <c r="J101" t="s">
        <v>30</v>
      </c>
      <c r="K101">
        <v>854.93</v>
      </c>
      <c r="L101">
        <v>512.95799999999997</v>
      </c>
      <c r="M101">
        <v>7.99</v>
      </c>
      <c r="N101">
        <v>1217</v>
      </c>
      <c r="O101" t="s">
        <v>20</v>
      </c>
      <c r="P101">
        <v>107</v>
      </c>
    </row>
    <row r="102" spans="1:16" x14ac:dyDescent="0.35">
      <c r="A102">
        <v>501</v>
      </c>
      <c r="B102">
        <v>2006</v>
      </c>
      <c r="C102" t="str">
        <f>IF(book_sales[[#This Row],[Publishing Year]]&lt;1900,"Classic (Before 1900)",IF(book_sales[[#This Row],[Publishing Year]]&lt;2000,"20th Century (1900-1999)","21st Century (2000+)"))</f>
        <v>21st Century (2000+)</v>
      </c>
      <c r="D102" t="s">
        <v>916</v>
      </c>
      <c r="E102" t="s">
        <v>917</v>
      </c>
      <c r="F102" t="s">
        <v>23</v>
      </c>
      <c r="G102" t="s">
        <v>532</v>
      </c>
      <c r="H102">
        <v>4.08</v>
      </c>
      <c r="I102">
        <v>99390</v>
      </c>
      <c r="J102" t="s">
        <v>19</v>
      </c>
      <c r="K102">
        <v>1470.26</v>
      </c>
      <c r="L102">
        <v>882.15599999999995</v>
      </c>
      <c r="M102">
        <v>9.02</v>
      </c>
      <c r="N102">
        <v>553</v>
      </c>
      <c r="O102" t="s">
        <v>46</v>
      </c>
      <c r="P102">
        <v>4401</v>
      </c>
    </row>
    <row r="103" spans="1:16" x14ac:dyDescent="0.35">
      <c r="A103">
        <v>925</v>
      </c>
      <c r="B103">
        <v>2008</v>
      </c>
      <c r="C103" t="str">
        <f>IF(book_sales[[#This Row],[Publishing Year]]&lt;1900,"Classic (Before 1900)",IF(book_sales[[#This Row],[Publishing Year]]&lt;2000,"20th Century (1900-1999)","21st Century (2000+)"))</f>
        <v>21st Century (2000+)</v>
      </c>
      <c r="D103" t="s">
        <v>1581</v>
      </c>
      <c r="E103" t="s">
        <v>917</v>
      </c>
      <c r="F103" t="s">
        <v>23</v>
      </c>
      <c r="G103" t="s">
        <v>532</v>
      </c>
      <c r="H103">
        <v>4.26</v>
      </c>
      <c r="I103">
        <v>65638</v>
      </c>
      <c r="J103" t="s">
        <v>19</v>
      </c>
      <c r="K103">
        <v>548.9</v>
      </c>
      <c r="L103">
        <v>0</v>
      </c>
      <c r="M103">
        <v>4.99</v>
      </c>
      <c r="N103">
        <v>1089</v>
      </c>
      <c r="O103" t="s">
        <v>27</v>
      </c>
      <c r="P103">
        <v>4360</v>
      </c>
    </row>
    <row r="104" spans="1:16" x14ac:dyDescent="0.35">
      <c r="A104">
        <v>31</v>
      </c>
      <c r="B104">
        <v>2010</v>
      </c>
      <c r="C104" t="str">
        <f>IF(book_sales[[#This Row],[Publishing Year]]&lt;1900,"Classic (Before 1900)",IF(book_sales[[#This Row],[Publishing Year]]&lt;2000,"20th Century (1900-1999)","21st Century (2000+)"))</f>
        <v>21st Century (2000+)</v>
      </c>
      <c r="D104" t="s">
        <v>89</v>
      </c>
      <c r="E104" t="s">
        <v>90</v>
      </c>
      <c r="F104" t="s">
        <v>23</v>
      </c>
      <c r="G104" t="s">
        <v>53</v>
      </c>
      <c r="H104">
        <v>4.6399999999999997</v>
      </c>
      <c r="I104">
        <v>144822</v>
      </c>
      <c r="J104" t="s">
        <v>19</v>
      </c>
      <c r="K104">
        <v>2178</v>
      </c>
      <c r="L104">
        <v>0</v>
      </c>
      <c r="M104">
        <v>0.99</v>
      </c>
      <c r="N104">
        <v>32</v>
      </c>
      <c r="O104" t="s">
        <v>27</v>
      </c>
      <c r="P104">
        <v>2200</v>
      </c>
    </row>
    <row r="105" spans="1:16" x14ac:dyDescent="0.35">
      <c r="A105">
        <v>72</v>
      </c>
      <c r="B105">
        <v>2008</v>
      </c>
      <c r="C105" t="str">
        <f>IF(book_sales[[#This Row],[Publishing Year]]&lt;1900,"Classic (Before 1900)",IF(book_sales[[#This Row],[Publishing Year]]&lt;2000,"20th Century (1900-1999)","21st Century (2000+)"))</f>
        <v>21st Century (2000+)</v>
      </c>
      <c r="D105" t="s">
        <v>171</v>
      </c>
      <c r="E105" t="s">
        <v>90</v>
      </c>
      <c r="F105" t="s">
        <v>23</v>
      </c>
      <c r="G105" t="s">
        <v>53</v>
      </c>
      <c r="H105">
        <v>4.46</v>
      </c>
      <c r="I105">
        <v>143622</v>
      </c>
      <c r="J105" t="s">
        <v>41</v>
      </c>
      <c r="K105">
        <v>5826.64</v>
      </c>
      <c r="L105">
        <v>3495.9839999999999</v>
      </c>
      <c r="M105">
        <v>4.21</v>
      </c>
      <c r="N105">
        <v>75</v>
      </c>
      <c r="O105" t="s">
        <v>27</v>
      </c>
      <c r="P105">
        <v>1384</v>
      </c>
    </row>
    <row r="106" spans="1:16" x14ac:dyDescent="0.35">
      <c r="A106">
        <v>331</v>
      </c>
      <c r="B106">
        <v>2014</v>
      </c>
      <c r="C106" t="str">
        <f>IF(book_sales[[#This Row],[Publishing Year]]&lt;1900,"Classic (Before 1900)",IF(book_sales[[#This Row],[Publishing Year]]&lt;2000,"20th Century (1900-1999)","21st Century (2000+)"))</f>
        <v>21st Century (2000+)</v>
      </c>
      <c r="D106" t="s">
        <v>628</v>
      </c>
      <c r="E106" t="s">
        <v>90</v>
      </c>
      <c r="F106" t="s">
        <v>23</v>
      </c>
      <c r="G106" t="s">
        <v>53</v>
      </c>
      <c r="H106">
        <v>4.7699999999999996</v>
      </c>
      <c r="I106">
        <v>73572</v>
      </c>
      <c r="J106" t="s">
        <v>19</v>
      </c>
      <c r="K106">
        <v>741.52</v>
      </c>
      <c r="L106">
        <v>444.91199999999998</v>
      </c>
      <c r="M106">
        <v>2.99</v>
      </c>
      <c r="N106">
        <v>354</v>
      </c>
      <c r="O106" t="s">
        <v>20</v>
      </c>
      <c r="P106">
        <v>248</v>
      </c>
    </row>
    <row r="107" spans="1:16" x14ac:dyDescent="0.35">
      <c r="A107">
        <v>439</v>
      </c>
      <c r="B107">
        <v>2013</v>
      </c>
      <c r="C107" t="str">
        <f>IF(book_sales[[#This Row],[Publishing Year]]&lt;1900,"Classic (Before 1900)",IF(book_sales[[#This Row],[Publishing Year]]&lt;2000,"20th Century (1900-1999)","21st Century (2000+)"))</f>
        <v>21st Century (2000+)</v>
      </c>
      <c r="D107" t="s">
        <v>816</v>
      </c>
      <c r="E107" t="s">
        <v>90</v>
      </c>
      <c r="F107" t="s">
        <v>23</v>
      </c>
      <c r="G107" t="s">
        <v>532</v>
      </c>
      <c r="H107">
        <v>4.16</v>
      </c>
      <c r="I107">
        <v>76261</v>
      </c>
      <c r="J107" t="s">
        <v>19</v>
      </c>
      <c r="K107">
        <v>1243.06</v>
      </c>
      <c r="L107">
        <v>745.83600000000001</v>
      </c>
      <c r="M107">
        <v>6.83</v>
      </c>
      <c r="N107">
        <v>486</v>
      </c>
      <c r="O107" t="s">
        <v>34</v>
      </c>
      <c r="P107">
        <v>4914</v>
      </c>
    </row>
    <row r="108" spans="1:16" x14ac:dyDescent="0.35">
      <c r="A108">
        <v>518</v>
      </c>
      <c r="B108">
        <v>2005</v>
      </c>
      <c r="C108" t="str">
        <f>IF(book_sales[[#This Row],[Publishing Year]]&lt;1900,"Classic (Before 1900)",IF(book_sales[[#This Row],[Publishing Year]]&lt;2000,"20th Century (1900-1999)","21st Century (2000+)"))</f>
        <v>21st Century (2000+)</v>
      </c>
      <c r="D108" t="s">
        <v>944</v>
      </c>
      <c r="E108" t="s">
        <v>90</v>
      </c>
      <c r="F108" t="s">
        <v>23</v>
      </c>
      <c r="G108" t="s">
        <v>532</v>
      </c>
      <c r="H108">
        <v>4.17</v>
      </c>
      <c r="I108">
        <v>95950</v>
      </c>
      <c r="J108" t="s">
        <v>19</v>
      </c>
      <c r="K108">
        <v>314.42</v>
      </c>
      <c r="L108">
        <v>188.65199999999999</v>
      </c>
      <c r="M108">
        <v>1.99</v>
      </c>
      <c r="N108">
        <v>574</v>
      </c>
      <c r="O108" t="s">
        <v>66</v>
      </c>
      <c r="P108">
        <v>4266</v>
      </c>
    </row>
    <row r="109" spans="1:16" x14ac:dyDescent="0.35">
      <c r="A109">
        <v>669</v>
      </c>
      <c r="B109">
        <v>2011</v>
      </c>
      <c r="C109" t="str">
        <f>IF(book_sales[[#This Row],[Publishing Year]]&lt;1900,"Classic (Before 1900)",IF(book_sales[[#This Row],[Publishing Year]]&lt;2000,"20th Century (1900-1999)","21st Century (2000+)"))</f>
        <v>21st Century (2000+)</v>
      </c>
      <c r="D109" t="s">
        <v>1193</v>
      </c>
      <c r="E109" t="s">
        <v>90</v>
      </c>
      <c r="F109" t="s">
        <v>23</v>
      </c>
      <c r="G109" t="s">
        <v>532</v>
      </c>
      <c r="H109">
        <v>4.2</v>
      </c>
      <c r="I109">
        <v>72185</v>
      </c>
      <c r="J109" t="s">
        <v>19</v>
      </c>
      <c r="K109">
        <v>593.80999999999995</v>
      </c>
      <c r="L109">
        <v>0</v>
      </c>
      <c r="M109">
        <v>4.99</v>
      </c>
      <c r="N109">
        <v>768</v>
      </c>
      <c r="O109" t="s">
        <v>27</v>
      </c>
      <c r="P109">
        <v>38448</v>
      </c>
    </row>
    <row r="110" spans="1:16" x14ac:dyDescent="0.35">
      <c r="A110">
        <v>328</v>
      </c>
      <c r="B110">
        <v>2008</v>
      </c>
      <c r="C110" t="str">
        <f>IF(book_sales[[#This Row],[Publishing Year]]&lt;1900,"Classic (Before 1900)",IF(book_sales[[#This Row],[Publishing Year]]&lt;2000,"20th Century (1900-1999)","21st Century (2000+)"))</f>
        <v>21st Century (2000+)</v>
      </c>
      <c r="D110" t="s">
        <v>622</v>
      </c>
      <c r="E110" t="s">
        <v>623</v>
      </c>
      <c r="F110" t="s">
        <v>17</v>
      </c>
      <c r="G110" t="s">
        <v>532</v>
      </c>
      <c r="H110">
        <v>4.1500000000000004</v>
      </c>
      <c r="I110">
        <v>109236</v>
      </c>
      <c r="J110" t="s">
        <v>19</v>
      </c>
      <c r="K110">
        <v>744.51</v>
      </c>
      <c r="L110">
        <v>446.70600000000002</v>
      </c>
      <c r="M110">
        <v>2.99</v>
      </c>
      <c r="N110">
        <v>351</v>
      </c>
      <c r="O110" t="s">
        <v>46</v>
      </c>
      <c r="P110">
        <v>249</v>
      </c>
    </row>
    <row r="111" spans="1:16" x14ac:dyDescent="0.35">
      <c r="A111">
        <v>881</v>
      </c>
      <c r="B111">
        <v>2008</v>
      </c>
      <c r="C111" t="str">
        <f>IF(book_sales[[#This Row],[Publishing Year]]&lt;1900,"Classic (Before 1900)",IF(book_sales[[#This Row],[Publishing Year]]&lt;2000,"20th Century (1900-1999)","21st Century (2000+)"))</f>
        <v>21st Century (2000+)</v>
      </c>
      <c r="D111" t="s">
        <v>1515</v>
      </c>
      <c r="E111" t="s">
        <v>623</v>
      </c>
      <c r="F111" t="s">
        <v>17</v>
      </c>
      <c r="G111" t="s">
        <v>532</v>
      </c>
      <c r="H111">
        <v>4.2699999999999996</v>
      </c>
      <c r="I111">
        <v>66390</v>
      </c>
      <c r="J111" t="s">
        <v>19</v>
      </c>
      <c r="K111">
        <v>1326.08</v>
      </c>
      <c r="L111">
        <v>795.64800000000002</v>
      </c>
      <c r="M111">
        <v>11.84</v>
      </c>
      <c r="N111">
        <v>1033</v>
      </c>
      <c r="O111" t="s">
        <v>46</v>
      </c>
      <c r="P111">
        <v>4440</v>
      </c>
    </row>
    <row r="112" spans="1:16" x14ac:dyDescent="0.35">
      <c r="A112">
        <v>1015</v>
      </c>
      <c r="B112">
        <v>2010</v>
      </c>
      <c r="C112" t="str">
        <f>IF(book_sales[[#This Row],[Publishing Year]]&lt;1900,"Classic (Before 1900)",IF(book_sales[[#This Row],[Publishing Year]]&lt;2000,"20th Century (1900-1999)","21st Century (2000+)"))</f>
        <v>21st Century (2000+)</v>
      </c>
      <c r="D112" t="s">
        <v>1721</v>
      </c>
      <c r="E112" t="s">
        <v>623</v>
      </c>
      <c r="F112" t="s">
        <v>17</v>
      </c>
      <c r="G112" t="s">
        <v>532</v>
      </c>
      <c r="H112">
        <v>4.24</v>
      </c>
      <c r="I112">
        <v>58906</v>
      </c>
      <c r="J112" t="s">
        <v>19</v>
      </c>
      <c r="K112">
        <v>430.92</v>
      </c>
      <c r="L112">
        <v>0</v>
      </c>
      <c r="M112">
        <v>3.99</v>
      </c>
      <c r="N112">
        <v>1199</v>
      </c>
      <c r="O112" t="s">
        <v>27</v>
      </c>
      <c r="P112">
        <v>108</v>
      </c>
    </row>
    <row r="113" spans="1:16" x14ac:dyDescent="0.35">
      <c r="A113">
        <v>693</v>
      </c>
      <c r="B113">
        <v>1999</v>
      </c>
      <c r="C113" t="str">
        <f>IF(book_sales[[#This Row],[Publishing Year]]&lt;1900,"Classic (Before 1900)",IF(book_sales[[#This Row],[Publishing Year]]&lt;2000,"20th Century (1900-1999)","21st Century (2000+)"))</f>
        <v>20th Century (1900-1999)</v>
      </c>
      <c r="D113" t="s">
        <v>1232</v>
      </c>
      <c r="E113" t="s">
        <v>1233</v>
      </c>
      <c r="F113" t="s">
        <v>17</v>
      </c>
      <c r="G113" t="s">
        <v>532</v>
      </c>
      <c r="H113">
        <v>4.0599999999999996</v>
      </c>
      <c r="I113">
        <v>32626</v>
      </c>
      <c r="J113" t="s">
        <v>19</v>
      </c>
      <c r="K113">
        <v>352.82</v>
      </c>
      <c r="L113">
        <v>0</v>
      </c>
      <c r="M113">
        <v>2.99</v>
      </c>
      <c r="N113">
        <v>798</v>
      </c>
      <c r="O113" t="s">
        <v>27</v>
      </c>
      <c r="P113">
        <v>36288</v>
      </c>
    </row>
    <row r="114" spans="1:16" x14ac:dyDescent="0.35">
      <c r="A114">
        <v>900</v>
      </c>
      <c r="B114">
        <v>1986</v>
      </c>
      <c r="C114" t="str">
        <f>IF(book_sales[[#This Row],[Publishing Year]]&lt;1900,"Classic (Before 1900)",IF(book_sales[[#This Row],[Publishing Year]]&lt;2000,"20th Century (1900-1999)","21st Century (2000+)"))</f>
        <v>20th Century (1900-1999)</v>
      </c>
      <c r="D114" t="s">
        <v>1539</v>
      </c>
      <c r="E114" t="s">
        <v>1540</v>
      </c>
      <c r="F114" t="s">
        <v>23</v>
      </c>
      <c r="G114" t="s">
        <v>532</v>
      </c>
      <c r="H114">
        <v>4.1100000000000003</v>
      </c>
      <c r="I114">
        <v>73918</v>
      </c>
      <c r="J114" t="s">
        <v>19</v>
      </c>
      <c r="K114">
        <v>331.89</v>
      </c>
      <c r="L114">
        <v>0</v>
      </c>
      <c r="M114">
        <v>2.99</v>
      </c>
      <c r="N114">
        <v>1056</v>
      </c>
      <c r="O114" t="s">
        <v>27</v>
      </c>
      <c r="P114">
        <v>4400</v>
      </c>
    </row>
    <row r="115" spans="1:16" x14ac:dyDescent="0.35">
      <c r="A115">
        <v>498</v>
      </c>
      <c r="B115">
        <v>2012</v>
      </c>
      <c r="C115" t="str">
        <f>IF(book_sales[[#This Row],[Publishing Year]]&lt;1900,"Classic (Before 1900)",IF(book_sales[[#This Row],[Publishing Year]]&lt;2000,"20th Century (1900-1999)","21st Century (2000+)"))</f>
        <v>21st Century (2000+)</v>
      </c>
      <c r="D115" t="s">
        <v>910</v>
      </c>
      <c r="E115" t="s">
        <v>911</v>
      </c>
      <c r="F115" t="s">
        <v>23</v>
      </c>
      <c r="G115" t="s">
        <v>532</v>
      </c>
      <c r="H115">
        <v>4.25</v>
      </c>
      <c r="I115">
        <v>131906</v>
      </c>
      <c r="J115" t="s">
        <v>19</v>
      </c>
      <c r="K115">
        <v>162.36000000000001</v>
      </c>
      <c r="L115">
        <v>97.415999999999997</v>
      </c>
      <c r="M115">
        <v>0.99</v>
      </c>
      <c r="N115">
        <v>550</v>
      </c>
      <c r="O115" t="s">
        <v>27</v>
      </c>
      <c r="P115">
        <v>4428</v>
      </c>
    </row>
    <row r="116" spans="1:16" x14ac:dyDescent="0.35">
      <c r="A116">
        <v>668</v>
      </c>
      <c r="B116">
        <v>2003</v>
      </c>
      <c r="C116" t="str">
        <f>IF(book_sales[[#This Row],[Publishing Year]]&lt;1900,"Classic (Before 1900)",IF(book_sales[[#This Row],[Publishing Year]]&lt;2000,"20th Century (1900-1999)","21st Century (2000+)"))</f>
        <v>21st Century (2000+)</v>
      </c>
      <c r="D116" t="s">
        <v>1191</v>
      </c>
      <c r="E116" t="s">
        <v>1192</v>
      </c>
      <c r="F116" t="s">
        <v>23</v>
      </c>
      <c r="G116" t="s">
        <v>532</v>
      </c>
      <c r="H116">
        <v>4.12</v>
      </c>
      <c r="I116">
        <v>81326</v>
      </c>
      <c r="J116" t="s">
        <v>19</v>
      </c>
      <c r="K116">
        <v>117.81</v>
      </c>
      <c r="L116">
        <v>0</v>
      </c>
      <c r="M116">
        <v>0.99</v>
      </c>
      <c r="N116">
        <v>767</v>
      </c>
      <c r="O116" t="s">
        <v>27</v>
      </c>
      <c r="P116">
        <v>38664</v>
      </c>
    </row>
    <row r="117" spans="1:16" x14ac:dyDescent="0.35">
      <c r="A117">
        <v>277</v>
      </c>
      <c r="B117">
        <v>2007</v>
      </c>
      <c r="C117" t="str">
        <f>IF(book_sales[[#This Row],[Publishing Year]]&lt;1900,"Classic (Before 1900)",IF(book_sales[[#This Row],[Publishing Year]]&lt;2000,"20th Century (1900-1999)","21st Century (2000+)"))</f>
        <v>21st Century (2000+)</v>
      </c>
      <c r="D117" t="s">
        <v>526</v>
      </c>
      <c r="E117" t="s">
        <v>527</v>
      </c>
      <c r="F117" t="s">
        <v>23</v>
      </c>
      <c r="G117" t="s">
        <v>24</v>
      </c>
      <c r="H117">
        <v>4.2300000000000004</v>
      </c>
      <c r="I117">
        <v>132159</v>
      </c>
      <c r="J117" t="s">
        <v>19</v>
      </c>
      <c r="K117">
        <v>1686.62</v>
      </c>
      <c r="L117">
        <v>0</v>
      </c>
      <c r="M117">
        <v>4.99</v>
      </c>
      <c r="N117">
        <v>297</v>
      </c>
      <c r="O117" t="s">
        <v>27</v>
      </c>
      <c r="P117">
        <v>338</v>
      </c>
    </row>
    <row r="118" spans="1:16" x14ac:dyDescent="0.35">
      <c r="A118">
        <v>907</v>
      </c>
      <c r="B118">
        <v>2000</v>
      </c>
      <c r="C118" t="str">
        <f>IF(book_sales[[#This Row],[Publishing Year]]&lt;1900,"Classic (Before 1900)",IF(book_sales[[#This Row],[Publishing Year]]&lt;2000,"20th Century (1900-1999)","21st Century (2000+)"))</f>
        <v>21st Century (2000+)</v>
      </c>
      <c r="D118" t="s">
        <v>1551</v>
      </c>
      <c r="E118" t="s">
        <v>1552</v>
      </c>
      <c r="F118" t="s">
        <v>23</v>
      </c>
      <c r="G118" t="s">
        <v>24</v>
      </c>
      <c r="H118">
        <v>3.92</v>
      </c>
      <c r="I118">
        <v>57468</v>
      </c>
      <c r="J118" t="s">
        <v>41</v>
      </c>
      <c r="K118">
        <v>899.1</v>
      </c>
      <c r="L118">
        <v>539.46</v>
      </c>
      <c r="M118">
        <v>8.1</v>
      </c>
      <c r="N118">
        <v>1061</v>
      </c>
      <c r="O118" t="s">
        <v>27</v>
      </c>
      <c r="P118">
        <v>4400</v>
      </c>
    </row>
    <row r="119" spans="1:16" x14ac:dyDescent="0.35">
      <c r="A119">
        <v>222</v>
      </c>
      <c r="B119">
        <v>2004</v>
      </c>
      <c r="C119" t="str">
        <f>IF(book_sales[[#This Row],[Publishing Year]]&lt;1900,"Classic (Before 1900)",IF(book_sales[[#This Row],[Publishing Year]]&lt;2000,"20th Century (1900-1999)","21st Century (2000+)"))</f>
        <v>21st Century (2000+)</v>
      </c>
      <c r="D119" t="s">
        <v>430</v>
      </c>
      <c r="E119" t="s">
        <v>431</v>
      </c>
      <c r="F119" t="s">
        <v>23</v>
      </c>
      <c r="G119" t="s">
        <v>24</v>
      </c>
      <c r="H119">
        <v>4.18</v>
      </c>
      <c r="I119">
        <v>126864</v>
      </c>
      <c r="J119" t="s">
        <v>19</v>
      </c>
      <c r="K119">
        <v>425.7</v>
      </c>
      <c r="L119">
        <v>255.42</v>
      </c>
      <c r="M119">
        <v>0.99</v>
      </c>
      <c r="N119">
        <v>242</v>
      </c>
      <c r="O119" t="s">
        <v>46</v>
      </c>
      <c r="P119">
        <v>430</v>
      </c>
    </row>
    <row r="120" spans="1:16" x14ac:dyDescent="0.35">
      <c r="A120">
        <v>1066</v>
      </c>
      <c r="B120">
        <v>1989</v>
      </c>
      <c r="C120" t="str">
        <f>IF(book_sales[[#This Row],[Publishing Year]]&lt;1900,"Classic (Before 1900)",IF(book_sales[[#This Row],[Publishing Year]]&lt;2000,"20th Century (1900-1999)","21st Century (2000+)"))</f>
        <v>20th Century (1900-1999)</v>
      </c>
      <c r="D120" t="s">
        <v>1800</v>
      </c>
      <c r="E120" t="s">
        <v>1801</v>
      </c>
      <c r="F120" t="s">
        <v>23</v>
      </c>
      <c r="G120" t="s">
        <v>532</v>
      </c>
      <c r="H120">
        <v>4.34</v>
      </c>
      <c r="I120">
        <v>57312</v>
      </c>
      <c r="J120" t="s">
        <v>19</v>
      </c>
      <c r="K120">
        <v>846.94</v>
      </c>
      <c r="L120">
        <v>508.16399999999999</v>
      </c>
      <c r="M120">
        <v>7.99</v>
      </c>
      <c r="N120">
        <v>1270</v>
      </c>
      <c r="O120" t="s">
        <v>46</v>
      </c>
      <c r="P120">
        <v>106</v>
      </c>
    </row>
    <row r="121" spans="1:16" x14ac:dyDescent="0.35">
      <c r="A121">
        <v>11</v>
      </c>
      <c r="B121">
        <v>1954</v>
      </c>
      <c r="C121" t="str">
        <f>IF(book_sales[[#This Row],[Publishing Year]]&lt;1900,"Classic (Before 1900)",IF(book_sales[[#This Row],[Publishing Year]]&lt;2000,"20th Century (1900-1999)","21st Century (2000+)"))</f>
        <v>20th Century (1900-1999)</v>
      </c>
      <c r="D121" t="s">
        <v>49</v>
      </c>
      <c r="E121" t="s">
        <v>50</v>
      </c>
      <c r="F121" t="s">
        <v>23</v>
      </c>
      <c r="G121" t="s">
        <v>24</v>
      </c>
      <c r="H121">
        <v>3.9</v>
      </c>
      <c r="I121">
        <v>189671</v>
      </c>
      <c r="J121" t="s">
        <v>30</v>
      </c>
      <c r="K121">
        <v>21564</v>
      </c>
      <c r="L121">
        <v>12938.4</v>
      </c>
      <c r="M121">
        <v>5.99</v>
      </c>
      <c r="N121">
        <v>11</v>
      </c>
      <c r="O121" t="s">
        <v>34</v>
      </c>
      <c r="P121">
        <v>3600</v>
      </c>
    </row>
    <row r="122" spans="1:16" x14ac:dyDescent="0.35">
      <c r="A122">
        <v>110</v>
      </c>
      <c r="B122">
        <v>1956</v>
      </c>
      <c r="C122" t="str">
        <f>IF(book_sales[[#This Row],[Publishing Year]]&lt;1900,"Classic (Before 1900)",IF(book_sales[[#This Row],[Publishing Year]]&lt;2000,"20th Century (1900-1999)","21st Century (2000+)"))</f>
        <v>20th Century (1900-1999)</v>
      </c>
      <c r="D122" t="s">
        <v>237</v>
      </c>
      <c r="E122" t="s">
        <v>50</v>
      </c>
      <c r="F122" t="s">
        <v>23</v>
      </c>
      <c r="G122" t="s">
        <v>24</v>
      </c>
      <c r="H122">
        <v>4.0199999999999996</v>
      </c>
      <c r="I122">
        <v>158701</v>
      </c>
      <c r="J122" t="s">
        <v>19</v>
      </c>
      <c r="K122">
        <v>5980</v>
      </c>
      <c r="L122">
        <v>3588</v>
      </c>
      <c r="M122">
        <v>6.5</v>
      </c>
      <c r="N122">
        <v>116</v>
      </c>
      <c r="O122" t="s">
        <v>27</v>
      </c>
      <c r="P122">
        <v>920</v>
      </c>
    </row>
    <row r="123" spans="1:16" x14ac:dyDescent="0.35">
      <c r="A123">
        <v>575</v>
      </c>
      <c r="B123">
        <v>1945</v>
      </c>
      <c r="C123" t="str">
        <f>IF(book_sales[[#This Row],[Publishing Year]]&lt;1900,"Classic (Before 1900)",IF(book_sales[[#This Row],[Publishing Year]]&lt;2000,"20th Century (1900-1999)","21st Century (2000+)"))</f>
        <v>20th Century (1900-1999)</v>
      </c>
      <c r="D123" t="s">
        <v>1040</v>
      </c>
      <c r="E123" t="s">
        <v>50</v>
      </c>
      <c r="F123" t="s">
        <v>17</v>
      </c>
      <c r="G123" t="s">
        <v>532</v>
      </c>
      <c r="H123">
        <v>4.28</v>
      </c>
      <c r="I123">
        <v>75031</v>
      </c>
      <c r="J123" t="s">
        <v>30</v>
      </c>
      <c r="K123">
        <v>1428.57</v>
      </c>
      <c r="L123">
        <v>857.14200000000005</v>
      </c>
      <c r="M123">
        <v>9.99</v>
      </c>
      <c r="N123">
        <v>642</v>
      </c>
      <c r="O123" t="s">
        <v>34</v>
      </c>
      <c r="P123">
        <v>3861</v>
      </c>
    </row>
    <row r="124" spans="1:16" x14ac:dyDescent="0.35">
      <c r="A124">
        <v>71</v>
      </c>
      <c r="B124">
        <v>1953</v>
      </c>
      <c r="C124" t="str">
        <f>IF(book_sales[[#This Row],[Publishing Year]]&lt;1900,"Classic (Before 1900)",IF(book_sales[[#This Row],[Publishing Year]]&lt;2000,"20th Century (1900-1999)","21st Century (2000+)"))</f>
        <v>20th Century (1900-1999)</v>
      </c>
      <c r="D124" t="s">
        <v>169</v>
      </c>
      <c r="E124" t="s">
        <v>170</v>
      </c>
      <c r="F124" t="s">
        <v>23</v>
      </c>
      <c r="G124" t="s">
        <v>24</v>
      </c>
      <c r="H124">
        <v>3.95</v>
      </c>
      <c r="I124">
        <v>170453</v>
      </c>
      <c r="J124" t="s">
        <v>19</v>
      </c>
      <c r="K124">
        <v>5245.36</v>
      </c>
      <c r="L124">
        <v>3147.2159999999999</v>
      </c>
      <c r="M124">
        <v>3.79</v>
      </c>
      <c r="N124">
        <v>75</v>
      </c>
      <c r="O124" t="s">
        <v>31</v>
      </c>
      <c r="P124">
        <v>1384</v>
      </c>
    </row>
    <row r="125" spans="1:16" x14ac:dyDescent="0.35">
      <c r="A125">
        <v>776</v>
      </c>
      <c r="B125">
        <v>2011</v>
      </c>
      <c r="C125" t="str">
        <f>IF(book_sales[[#This Row],[Publishing Year]]&lt;1900,"Classic (Before 1900)",IF(book_sales[[#This Row],[Publishing Year]]&lt;2000,"20th Century (1900-1999)","21st Century (2000+)"))</f>
        <v>21st Century (2000+)</v>
      </c>
      <c r="D125" t="s">
        <v>1361</v>
      </c>
      <c r="E125" t="s">
        <v>1362</v>
      </c>
      <c r="F125" t="s">
        <v>23</v>
      </c>
      <c r="G125" t="s">
        <v>24</v>
      </c>
      <c r="H125">
        <v>3.73</v>
      </c>
      <c r="I125">
        <v>70446</v>
      </c>
      <c r="J125" t="s">
        <v>19</v>
      </c>
      <c r="K125">
        <v>346.84</v>
      </c>
      <c r="L125">
        <v>0</v>
      </c>
      <c r="M125">
        <v>2.99</v>
      </c>
      <c r="N125">
        <v>898</v>
      </c>
      <c r="O125" t="s">
        <v>27</v>
      </c>
      <c r="P125">
        <v>28512</v>
      </c>
    </row>
    <row r="126" spans="1:16" x14ac:dyDescent="0.35">
      <c r="A126">
        <v>451</v>
      </c>
      <c r="B126">
        <v>1994</v>
      </c>
      <c r="C126" t="str">
        <f>IF(book_sales[[#This Row],[Publishing Year]]&lt;1900,"Classic (Before 1900)",IF(book_sales[[#This Row],[Publishing Year]]&lt;2000,"20th Century (1900-1999)","21st Century (2000+)"))</f>
        <v>20th Century (1900-1999)</v>
      </c>
      <c r="D126" t="s">
        <v>834</v>
      </c>
      <c r="E126" t="s">
        <v>835</v>
      </c>
      <c r="F126" t="s">
        <v>23</v>
      </c>
      <c r="G126" t="s">
        <v>532</v>
      </c>
      <c r="H126">
        <v>4.05</v>
      </c>
      <c r="I126">
        <v>96981</v>
      </c>
      <c r="J126" t="s">
        <v>19</v>
      </c>
      <c r="K126">
        <v>1230.24</v>
      </c>
      <c r="L126">
        <v>738.14400000000001</v>
      </c>
      <c r="M126">
        <v>6.99</v>
      </c>
      <c r="N126">
        <v>498</v>
      </c>
      <c r="O126" t="s">
        <v>20</v>
      </c>
      <c r="P126">
        <v>4752</v>
      </c>
    </row>
    <row r="127" spans="1:16" x14ac:dyDescent="0.35">
      <c r="A127">
        <v>748</v>
      </c>
      <c r="B127">
        <v>2002</v>
      </c>
      <c r="C127" t="str">
        <f>IF(book_sales[[#This Row],[Publishing Year]]&lt;1900,"Classic (Before 1900)",IF(book_sales[[#This Row],[Publishing Year]]&lt;2000,"20th Century (1900-1999)","21st Century (2000+)"))</f>
        <v>21st Century (2000+)</v>
      </c>
      <c r="D127" t="s">
        <v>1315</v>
      </c>
      <c r="E127" t="s">
        <v>1316</v>
      </c>
      <c r="F127" t="s">
        <v>23</v>
      </c>
      <c r="G127" t="s">
        <v>24</v>
      </c>
      <c r="H127">
        <v>3.81</v>
      </c>
      <c r="I127">
        <v>75275</v>
      </c>
      <c r="J127" t="s">
        <v>19</v>
      </c>
      <c r="K127">
        <v>583.83000000000004</v>
      </c>
      <c r="L127">
        <v>350.298</v>
      </c>
      <c r="M127">
        <v>4.99</v>
      </c>
      <c r="N127">
        <v>862</v>
      </c>
      <c r="O127" t="s">
        <v>34</v>
      </c>
      <c r="P127">
        <v>31752</v>
      </c>
    </row>
    <row r="128" spans="1:16" x14ac:dyDescent="0.35">
      <c r="A128">
        <v>472</v>
      </c>
      <c r="B128">
        <v>1985</v>
      </c>
      <c r="C128" t="str">
        <f>IF(book_sales[[#This Row],[Publishing Year]]&lt;1900,"Classic (Before 1900)",IF(book_sales[[#This Row],[Publishing Year]]&lt;2000,"20th Century (1900-1999)","21st Century (2000+)"))</f>
        <v>20th Century (1900-1999)</v>
      </c>
      <c r="D128" t="s">
        <v>870</v>
      </c>
      <c r="E128" t="s">
        <v>871</v>
      </c>
      <c r="F128" t="s">
        <v>23</v>
      </c>
      <c r="G128" t="s">
        <v>532</v>
      </c>
      <c r="H128">
        <v>4.1100000000000003</v>
      </c>
      <c r="I128">
        <v>90917</v>
      </c>
      <c r="J128" t="s">
        <v>19</v>
      </c>
      <c r="K128">
        <v>1350.31</v>
      </c>
      <c r="L128">
        <v>810.18600000000004</v>
      </c>
      <c r="M128">
        <v>7.99</v>
      </c>
      <c r="N128">
        <v>524</v>
      </c>
      <c r="O128" t="s">
        <v>46</v>
      </c>
      <c r="P128">
        <v>4563</v>
      </c>
    </row>
    <row r="129" spans="1:16" x14ac:dyDescent="0.35">
      <c r="A129">
        <v>704</v>
      </c>
      <c r="B129">
        <v>1980</v>
      </c>
      <c r="C129" t="str">
        <f>IF(book_sales[[#This Row],[Publishing Year]]&lt;1900,"Classic (Before 1900)",IF(book_sales[[#This Row],[Publishing Year]]&lt;2000,"20th Century (1900-1999)","21st Century (2000+)"))</f>
        <v>20th Century (1900-1999)</v>
      </c>
      <c r="D129" t="s">
        <v>1247</v>
      </c>
      <c r="E129" t="s">
        <v>871</v>
      </c>
      <c r="F129" t="s">
        <v>23</v>
      </c>
      <c r="G129" t="s">
        <v>532</v>
      </c>
      <c r="H129">
        <v>4.3499999999999996</v>
      </c>
      <c r="I129">
        <v>76440</v>
      </c>
      <c r="J129" t="s">
        <v>41</v>
      </c>
      <c r="K129">
        <v>1131.6199999999999</v>
      </c>
      <c r="L129">
        <v>678.97199999999998</v>
      </c>
      <c r="M129">
        <v>9.59</v>
      </c>
      <c r="N129">
        <v>810</v>
      </c>
      <c r="O129" t="s">
        <v>34</v>
      </c>
      <c r="P129">
        <v>35640</v>
      </c>
    </row>
    <row r="130" spans="1:16" x14ac:dyDescent="0.35">
      <c r="A130">
        <v>936</v>
      </c>
      <c r="B130">
        <v>2008</v>
      </c>
      <c r="C130" t="str">
        <f>IF(book_sales[[#This Row],[Publishing Year]]&lt;1900,"Classic (Before 1900)",IF(book_sales[[#This Row],[Publishing Year]]&lt;2000,"20th Century (1900-1999)","21st Century (2000+)"))</f>
        <v>21st Century (2000+)</v>
      </c>
      <c r="D130" t="s">
        <v>1597</v>
      </c>
      <c r="E130" t="s">
        <v>1598</v>
      </c>
      <c r="F130" t="s">
        <v>23</v>
      </c>
      <c r="G130" t="s">
        <v>24</v>
      </c>
      <c r="H130">
        <v>3.86</v>
      </c>
      <c r="I130">
        <v>46225</v>
      </c>
      <c r="J130" t="s">
        <v>19</v>
      </c>
      <c r="K130">
        <v>1351.9</v>
      </c>
      <c r="L130">
        <v>811.14</v>
      </c>
      <c r="M130">
        <v>12.29</v>
      </c>
      <c r="N130">
        <v>1101</v>
      </c>
      <c r="O130" t="s">
        <v>20</v>
      </c>
      <c r="P130">
        <v>4320</v>
      </c>
    </row>
    <row r="131" spans="1:16" x14ac:dyDescent="0.35">
      <c r="A131">
        <v>462</v>
      </c>
      <c r="B131">
        <v>2012</v>
      </c>
      <c r="C131" t="str">
        <f>IF(book_sales[[#This Row],[Publishing Year]]&lt;1900,"Classic (Before 1900)",IF(book_sales[[#This Row],[Publishing Year]]&lt;2000,"20th Century (1900-1999)","21st Century (2000+)"))</f>
        <v>21st Century (2000+)</v>
      </c>
      <c r="D131" t="s">
        <v>853</v>
      </c>
      <c r="E131" t="s">
        <v>854</v>
      </c>
      <c r="F131" t="s">
        <v>23</v>
      </c>
      <c r="G131" t="s">
        <v>532</v>
      </c>
      <c r="H131">
        <v>4.04</v>
      </c>
      <c r="I131">
        <v>85582</v>
      </c>
      <c r="J131" t="s">
        <v>19</v>
      </c>
      <c r="K131">
        <v>340.29</v>
      </c>
      <c r="L131">
        <v>0</v>
      </c>
      <c r="M131">
        <v>1.99</v>
      </c>
      <c r="N131">
        <v>514</v>
      </c>
      <c r="O131" t="s">
        <v>27</v>
      </c>
      <c r="P131">
        <v>4617</v>
      </c>
    </row>
    <row r="132" spans="1:16" x14ac:dyDescent="0.35">
      <c r="A132">
        <v>834</v>
      </c>
      <c r="B132">
        <v>1940</v>
      </c>
      <c r="C132" t="str">
        <f>IF(book_sales[[#This Row],[Publishing Year]]&lt;1900,"Classic (Before 1900)",IF(book_sales[[#This Row],[Publishing Year]]&lt;2000,"20th Century (1900-1999)","21st Century (2000+)"))</f>
        <v>20th Century (1900-1999)</v>
      </c>
      <c r="D132" t="s">
        <v>1445</v>
      </c>
      <c r="E132" t="s">
        <v>1446</v>
      </c>
      <c r="F132" t="s">
        <v>23</v>
      </c>
      <c r="G132" t="s">
        <v>24</v>
      </c>
      <c r="H132">
        <v>3.97</v>
      </c>
      <c r="I132">
        <v>67643</v>
      </c>
      <c r="J132" t="s">
        <v>19</v>
      </c>
      <c r="K132">
        <v>454.86</v>
      </c>
      <c r="L132">
        <v>0</v>
      </c>
      <c r="M132">
        <v>3.99</v>
      </c>
      <c r="N132">
        <v>972</v>
      </c>
      <c r="O132" t="s">
        <v>27</v>
      </c>
      <c r="P132">
        <v>2889</v>
      </c>
    </row>
    <row r="133" spans="1:16" x14ac:dyDescent="0.35">
      <c r="A133">
        <v>76</v>
      </c>
      <c r="B133">
        <v>2014</v>
      </c>
      <c r="C133" t="str">
        <f>IF(book_sales[[#This Row],[Publishing Year]]&lt;1900,"Classic (Before 1900)",IF(book_sales[[#This Row],[Publishing Year]]&lt;2000,"20th Century (1900-1999)","21st Century (2000+)"))</f>
        <v>21st Century (2000+)</v>
      </c>
      <c r="D133" t="s">
        <v>178</v>
      </c>
      <c r="E133" t="s">
        <v>179</v>
      </c>
      <c r="F133" t="s">
        <v>23</v>
      </c>
      <c r="G133" t="s">
        <v>53</v>
      </c>
      <c r="H133">
        <v>4.4800000000000004</v>
      </c>
      <c r="I133">
        <v>177796</v>
      </c>
      <c r="J133" t="s">
        <v>19</v>
      </c>
      <c r="K133">
        <v>6676.62</v>
      </c>
      <c r="L133">
        <v>0</v>
      </c>
      <c r="M133">
        <v>4.99</v>
      </c>
      <c r="N133">
        <v>78</v>
      </c>
      <c r="O133" t="s">
        <v>27</v>
      </c>
      <c r="P133">
        <v>1338</v>
      </c>
    </row>
    <row r="134" spans="1:16" x14ac:dyDescent="0.35">
      <c r="A134">
        <v>423</v>
      </c>
      <c r="B134">
        <v>2009</v>
      </c>
      <c r="C134" t="str">
        <f>IF(book_sales[[#This Row],[Publishing Year]]&lt;1900,"Classic (Before 1900)",IF(book_sales[[#This Row],[Publishing Year]]&lt;2000,"20th Century (1900-1999)","21st Century (2000+)"))</f>
        <v>21st Century (2000+)</v>
      </c>
      <c r="D134" t="s">
        <v>789</v>
      </c>
      <c r="E134" t="s">
        <v>790</v>
      </c>
      <c r="F134" t="s">
        <v>17</v>
      </c>
      <c r="G134" t="s">
        <v>532</v>
      </c>
      <c r="H134">
        <v>4.2</v>
      </c>
      <c r="I134">
        <v>88847</v>
      </c>
      <c r="J134" t="s">
        <v>19</v>
      </c>
      <c r="K134">
        <v>1726.08</v>
      </c>
      <c r="L134">
        <v>1035.6479999999999</v>
      </c>
      <c r="M134">
        <v>8.99</v>
      </c>
      <c r="N134">
        <v>465</v>
      </c>
      <c r="O134" t="s">
        <v>20</v>
      </c>
      <c r="P134">
        <v>5184</v>
      </c>
    </row>
    <row r="135" spans="1:16" x14ac:dyDescent="0.35">
      <c r="A135">
        <v>937</v>
      </c>
      <c r="B135">
        <v>2004</v>
      </c>
      <c r="C135" t="str">
        <f>IF(book_sales[[#This Row],[Publishing Year]]&lt;1900,"Classic (Before 1900)",IF(book_sales[[#This Row],[Publishing Year]]&lt;2000,"20th Century (1900-1999)","21st Century (2000+)"))</f>
        <v>21st Century (2000+)</v>
      </c>
      <c r="D135" t="s">
        <v>1599</v>
      </c>
      <c r="E135" t="s">
        <v>1600</v>
      </c>
      <c r="F135" t="s">
        <v>17</v>
      </c>
      <c r="G135" t="s">
        <v>24</v>
      </c>
      <c r="H135">
        <v>3.95</v>
      </c>
      <c r="I135">
        <v>55236</v>
      </c>
      <c r="J135" t="s">
        <v>41</v>
      </c>
      <c r="K135">
        <v>1208.9000000000001</v>
      </c>
      <c r="L135">
        <v>725.34</v>
      </c>
      <c r="M135">
        <v>10.99</v>
      </c>
      <c r="N135">
        <v>1101</v>
      </c>
      <c r="O135" t="s">
        <v>46</v>
      </c>
      <c r="P135">
        <v>4320</v>
      </c>
    </row>
    <row r="136" spans="1:16" x14ac:dyDescent="0.35">
      <c r="A136">
        <v>137</v>
      </c>
      <c r="B136">
        <v>2014</v>
      </c>
      <c r="C136" t="str">
        <f>IF(book_sales[[#This Row],[Publishing Year]]&lt;1900,"Classic (Before 1900)",IF(book_sales[[#This Row],[Publishing Year]]&lt;2000,"20th Century (1900-1999)","21st Century (2000+)"))</f>
        <v>21st Century (2000+)</v>
      </c>
      <c r="D136" t="s">
        <v>285</v>
      </c>
      <c r="E136" t="s">
        <v>286</v>
      </c>
      <c r="F136" t="s">
        <v>23</v>
      </c>
      <c r="G136" t="s">
        <v>24</v>
      </c>
      <c r="H136">
        <v>3.78</v>
      </c>
      <c r="I136">
        <v>108703</v>
      </c>
      <c r="J136" t="s">
        <v>19</v>
      </c>
      <c r="K136">
        <v>3112.2</v>
      </c>
      <c r="L136">
        <v>0</v>
      </c>
      <c r="M136">
        <v>3.99</v>
      </c>
      <c r="N136">
        <v>144</v>
      </c>
      <c r="O136" t="s">
        <v>27</v>
      </c>
      <c r="P136">
        <v>780</v>
      </c>
    </row>
    <row r="137" spans="1:16" x14ac:dyDescent="0.35">
      <c r="A137">
        <v>499</v>
      </c>
      <c r="B137">
        <v>2011</v>
      </c>
      <c r="C137" t="str">
        <f>IF(book_sales[[#This Row],[Publishing Year]]&lt;1900,"Classic (Before 1900)",IF(book_sales[[#This Row],[Publishing Year]]&lt;2000,"20th Century (1900-1999)","21st Century (2000+)"))</f>
        <v>21st Century (2000+)</v>
      </c>
      <c r="D137" t="s">
        <v>912</v>
      </c>
      <c r="E137" t="s">
        <v>913</v>
      </c>
      <c r="F137" t="s">
        <v>23</v>
      </c>
      <c r="G137" t="s">
        <v>24</v>
      </c>
      <c r="H137">
        <v>3.99</v>
      </c>
      <c r="I137">
        <v>81712</v>
      </c>
      <c r="J137" t="s">
        <v>19</v>
      </c>
      <c r="K137">
        <v>324.37</v>
      </c>
      <c r="L137">
        <v>194.62200000000001</v>
      </c>
      <c r="M137">
        <v>1.99</v>
      </c>
      <c r="N137">
        <v>551</v>
      </c>
      <c r="O137" t="s">
        <v>27</v>
      </c>
      <c r="P137">
        <v>4401</v>
      </c>
    </row>
    <row r="138" spans="1:16" x14ac:dyDescent="0.35">
      <c r="A138">
        <v>934</v>
      </c>
      <c r="B138">
        <v>1967</v>
      </c>
      <c r="C138" t="str">
        <f>IF(book_sales[[#This Row],[Publishing Year]]&lt;1900,"Classic (Before 1900)",IF(book_sales[[#This Row],[Publishing Year]]&lt;2000,"20th Century (1900-1999)","21st Century (2000+)"))</f>
        <v>20th Century (1900-1999)</v>
      </c>
      <c r="D138" t="s">
        <v>1593</v>
      </c>
      <c r="E138" t="s">
        <v>1594</v>
      </c>
      <c r="F138" t="s">
        <v>23</v>
      </c>
      <c r="G138" t="s">
        <v>532</v>
      </c>
      <c r="H138">
        <v>4.03</v>
      </c>
      <c r="I138">
        <v>70701</v>
      </c>
      <c r="J138" t="s">
        <v>30</v>
      </c>
      <c r="K138">
        <v>218.9</v>
      </c>
      <c r="L138">
        <v>131.34</v>
      </c>
      <c r="M138">
        <v>1.99</v>
      </c>
      <c r="N138">
        <v>1099</v>
      </c>
      <c r="O138" t="s">
        <v>27</v>
      </c>
      <c r="P138">
        <v>4320</v>
      </c>
    </row>
    <row r="139" spans="1:16" x14ac:dyDescent="0.35">
      <c r="A139">
        <v>27</v>
      </c>
      <c r="B139">
        <v>2004</v>
      </c>
      <c r="C139" t="str">
        <f>IF(book_sales[[#This Row],[Publishing Year]]&lt;1900,"Classic (Before 1900)",IF(book_sales[[#This Row],[Publishing Year]]&lt;2000,"20th Century (1900-1999)","21st Century (2000+)"))</f>
        <v>21st Century (2000+)</v>
      </c>
      <c r="D139" t="s">
        <v>81</v>
      </c>
      <c r="E139" t="s">
        <v>82</v>
      </c>
      <c r="F139" t="s">
        <v>23</v>
      </c>
      <c r="G139" t="s">
        <v>24</v>
      </c>
      <c r="H139">
        <v>4.13</v>
      </c>
      <c r="I139">
        <v>199572</v>
      </c>
      <c r="J139" t="s">
        <v>19</v>
      </c>
      <c r="K139">
        <v>2376</v>
      </c>
      <c r="L139">
        <v>0</v>
      </c>
      <c r="M139">
        <v>0.99</v>
      </c>
      <c r="N139">
        <v>29</v>
      </c>
      <c r="O139" t="s">
        <v>27</v>
      </c>
      <c r="P139">
        <v>2400</v>
      </c>
    </row>
    <row r="140" spans="1:16" x14ac:dyDescent="0.35">
      <c r="A140">
        <v>32</v>
      </c>
      <c r="B140">
        <v>2003</v>
      </c>
      <c r="C140" t="str">
        <f>IF(book_sales[[#This Row],[Publishing Year]]&lt;1900,"Classic (Before 1900)",IF(book_sales[[#This Row],[Publishing Year]]&lt;2000,"20th Century (1900-1999)","21st Century (2000+)"))</f>
        <v>21st Century (2000+)</v>
      </c>
      <c r="D140" t="s">
        <v>91</v>
      </c>
      <c r="E140" t="s">
        <v>82</v>
      </c>
      <c r="F140" t="s">
        <v>92</v>
      </c>
      <c r="G140" t="s">
        <v>24</v>
      </c>
      <c r="H140">
        <v>4.03</v>
      </c>
      <c r="I140">
        <v>181323</v>
      </c>
      <c r="J140" t="s">
        <v>19</v>
      </c>
      <c r="K140">
        <v>13178</v>
      </c>
      <c r="L140">
        <v>7906.8</v>
      </c>
      <c r="M140">
        <v>5.99</v>
      </c>
      <c r="N140">
        <v>32</v>
      </c>
      <c r="O140" t="s">
        <v>20</v>
      </c>
      <c r="P140">
        <v>2200</v>
      </c>
    </row>
    <row r="141" spans="1:16" x14ac:dyDescent="0.35">
      <c r="A141">
        <v>93</v>
      </c>
      <c r="B141">
        <v>2007</v>
      </c>
      <c r="C141" t="str">
        <f>IF(book_sales[[#This Row],[Publishing Year]]&lt;1900,"Classic (Before 1900)",IF(book_sales[[#This Row],[Publishing Year]]&lt;2000,"20th Century (1900-1999)","21st Century (2000+)"))</f>
        <v>21st Century (2000+)</v>
      </c>
      <c r="D141" t="s">
        <v>207</v>
      </c>
      <c r="E141" t="s">
        <v>82</v>
      </c>
      <c r="F141" t="s">
        <v>23</v>
      </c>
      <c r="G141" t="s">
        <v>24</v>
      </c>
      <c r="H141">
        <v>4.05</v>
      </c>
      <c r="I141">
        <v>162689</v>
      </c>
      <c r="J141" t="s">
        <v>19</v>
      </c>
      <c r="K141">
        <v>6983.24</v>
      </c>
      <c r="L141">
        <v>4189.9440000000004</v>
      </c>
      <c r="M141">
        <v>6.49</v>
      </c>
      <c r="N141">
        <v>95</v>
      </c>
      <c r="O141" t="s">
        <v>46</v>
      </c>
      <c r="P141">
        <v>1076</v>
      </c>
    </row>
    <row r="142" spans="1:16" x14ac:dyDescent="0.35">
      <c r="A142">
        <v>100</v>
      </c>
      <c r="B142">
        <v>2005</v>
      </c>
      <c r="C142" t="str">
        <f>IF(book_sales[[#This Row],[Publishing Year]]&lt;1900,"Classic (Before 1900)",IF(book_sales[[#This Row],[Publishing Year]]&lt;2000,"20th Century (1900-1999)","21st Century (2000+)"))</f>
        <v>21st Century (2000+)</v>
      </c>
      <c r="D142" t="s">
        <v>220</v>
      </c>
      <c r="E142" t="s">
        <v>82</v>
      </c>
      <c r="F142" t="s">
        <v>23</v>
      </c>
      <c r="G142" t="s">
        <v>24</v>
      </c>
      <c r="H142">
        <v>4.01</v>
      </c>
      <c r="I142">
        <v>169560</v>
      </c>
      <c r="J142" t="s">
        <v>19</v>
      </c>
      <c r="K142">
        <v>5068.8</v>
      </c>
      <c r="L142">
        <v>3041.28</v>
      </c>
      <c r="M142">
        <v>5.12</v>
      </c>
      <c r="N142">
        <v>102</v>
      </c>
      <c r="O142" t="s">
        <v>34</v>
      </c>
      <c r="P142">
        <v>990</v>
      </c>
    </row>
    <row r="143" spans="1:16" x14ac:dyDescent="0.35">
      <c r="A143">
        <v>121</v>
      </c>
      <c r="B143">
        <v>2006</v>
      </c>
      <c r="C143" t="str">
        <f>IF(book_sales[[#This Row],[Publishing Year]]&lt;1900,"Classic (Before 1900)",IF(book_sales[[#This Row],[Publishing Year]]&lt;2000,"20th Century (1900-1999)","21st Century (2000+)"))</f>
        <v>21st Century (2000+)</v>
      </c>
      <c r="D143" t="s">
        <v>257</v>
      </c>
      <c r="E143" t="s">
        <v>82</v>
      </c>
      <c r="F143" t="s">
        <v>17</v>
      </c>
      <c r="G143" t="s">
        <v>24</v>
      </c>
      <c r="H143">
        <v>4.0199999999999996</v>
      </c>
      <c r="I143">
        <v>163054</v>
      </c>
      <c r="J143" t="s">
        <v>19</v>
      </c>
      <c r="K143">
        <v>6525</v>
      </c>
      <c r="L143">
        <v>3915</v>
      </c>
      <c r="M143">
        <v>7.5</v>
      </c>
      <c r="N143">
        <v>126</v>
      </c>
      <c r="O143" t="s">
        <v>66</v>
      </c>
      <c r="P143">
        <v>870</v>
      </c>
    </row>
    <row r="144" spans="1:16" x14ac:dyDescent="0.35">
      <c r="A144">
        <v>193</v>
      </c>
      <c r="B144">
        <v>2008</v>
      </c>
      <c r="C144" t="str">
        <f>IF(book_sales[[#This Row],[Publishing Year]]&lt;1900,"Classic (Before 1900)",IF(book_sales[[#This Row],[Publishing Year]]&lt;2000,"20th Century (1900-1999)","21st Century (2000+)"))</f>
        <v>21st Century (2000+)</v>
      </c>
      <c r="D144" t="s">
        <v>379</v>
      </c>
      <c r="E144" t="s">
        <v>82</v>
      </c>
      <c r="F144" t="s">
        <v>23</v>
      </c>
      <c r="G144" t="s">
        <v>24</v>
      </c>
      <c r="H144">
        <v>4.01</v>
      </c>
      <c r="I144">
        <v>151095</v>
      </c>
      <c r="J144" t="s">
        <v>19</v>
      </c>
      <c r="K144">
        <v>475.2</v>
      </c>
      <c r="L144">
        <v>285.12</v>
      </c>
      <c r="M144">
        <v>0.99</v>
      </c>
      <c r="N144">
        <v>212</v>
      </c>
      <c r="O144" t="s">
        <v>27</v>
      </c>
      <c r="P144">
        <v>480</v>
      </c>
    </row>
    <row r="145" spans="1:16" x14ac:dyDescent="0.35">
      <c r="A145">
        <v>217</v>
      </c>
      <c r="B145">
        <v>2009</v>
      </c>
      <c r="C145" t="str">
        <f>IF(book_sales[[#This Row],[Publishing Year]]&lt;1900,"Classic (Before 1900)",IF(book_sales[[#This Row],[Publishing Year]]&lt;2000,"20th Century (1900-1999)","21st Century (2000+)"))</f>
        <v>21st Century (2000+)</v>
      </c>
      <c r="D145" t="s">
        <v>423</v>
      </c>
      <c r="E145" t="s">
        <v>82</v>
      </c>
      <c r="F145" t="s">
        <v>23</v>
      </c>
      <c r="G145" t="s">
        <v>24</v>
      </c>
      <c r="H145">
        <v>4.01</v>
      </c>
      <c r="I145">
        <v>145157</v>
      </c>
      <c r="J145" t="s">
        <v>19</v>
      </c>
      <c r="K145">
        <v>2175.64</v>
      </c>
      <c r="L145">
        <v>1305.384</v>
      </c>
      <c r="M145">
        <v>4.99</v>
      </c>
      <c r="N145">
        <v>238</v>
      </c>
      <c r="O145" t="s">
        <v>46</v>
      </c>
      <c r="P145">
        <v>436</v>
      </c>
    </row>
    <row r="146" spans="1:16" x14ac:dyDescent="0.35">
      <c r="A146">
        <v>340</v>
      </c>
      <c r="B146">
        <v>2010</v>
      </c>
      <c r="C146" t="str">
        <f>IF(book_sales[[#This Row],[Publishing Year]]&lt;1900,"Classic (Before 1900)",IF(book_sales[[#This Row],[Publishing Year]]&lt;2000,"20th Century (1900-1999)","21st Century (2000+)"))</f>
        <v>21st Century (2000+)</v>
      </c>
      <c r="D146" t="s">
        <v>644</v>
      </c>
      <c r="E146" t="s">
        <v>82</v>
      </c>
      <c r="F146" t="s">
        <v>17</v>
      </c>
      <c r="G146" t="s">
        <v>24</v>
      </c>
      <c r="H146">
        <v>3.88</v>
      </c>
      <c r="I146">
        <v>127379</v>
      </c>
      <c r="J146" t="s">
        <v>19</v>
      </c>
      <c r="K146">
        <v>1494.45</v>
      </c>
      <c r="L146">
        <v>896.67</v>
      </c>
      <c r="M146">
        <v>6.15</v>
      </c>
      <c r="N146">
        <v>364</v>
      </c>
      <c r="O146" t="s">
        <v>27</v>
      </c>
      <c r="P146">
        <v>243</v>
      </c>
    </row>
    <row r="147" spans="1:16" x14ac:dyDescent="0.35">
      <c r="A147">
        <v>670</v>
      </c>
      <c r="B147">
        <v>2011</v>
      </c>
      <c r="C147" t="str">
        <f>IF(book_sales[[#This Row],[Publishing Year]]&lt;1900,"Classic (Before 1900)",IF(book_sales[[#This Row],[Publishing Year]]&lt;2000,"20th Century (1900-1999)","21st Century (2000+)"))</f>
        <v>21st Century (2000+)</v>
      </c>
      <c r="D147" t="s">
        <v>1194</v>
      </c>
      <c r="E147" t="s">
        <v>82</v>
      </c>
      <c r="F147" t="s">
        <v>23</v>
      </c>
      <c r="G147" t="s">
        <v>24</v>
      </c>
      <c r="H147">
        <v>3.77</v>
      </c>
      <c r="I147">
        <v>87066</v>
      </c>
      <c r="J147" t="s">
        <v>41</v>
      </c>
      <c r="K147">
        <v>117.81</v>
      </c>
      <c r="L147">
        <v>70.686000000000007</v>
      </c>
      <c r="M147">
        <v>0.99</v>
      </c>
      <c r="N147">
        <v>770</v>
      </c>
      <c r="O147" t="s">
        <v>27</v>
      </c>
      <c r="P147">
        <v>38448</v>
      </c>
    </row>
    <row r="148" spans="1:16" x14ac:dyDescent="0.35">
      <c r="A148">
        <v>1057</v>
      </c>
      <c r="B148">
        <v>2012</v>
      </c>
      <c r="C148" t="str">
        <f>IF(book_sales[[#This Row],[Publishing Year]]&lt;1900,"Classic (Before 1900)",IF(book_sales[[#This Row],[Publishing Year]]&lt;2000,"20th Century (1900-1999)","21st Century (2000+)"))</f>
        <v>21st Century (2000+)</v>
      </c>
      <c r="D148" t="s">
        <v>1787</v>
      </c>
      <c r="E148" t="s">
        <v>82</v>
      </c>
      <c r="F148" t="s">
        <v>23</v>
      </c>
      <c r="G148" t="s">
        <v>24</v>
      </c>
      <c r="H148">
        <v>3.65</v>
      </c>
      <c r="I148">
        <v>65932</v>
      </c>
      <c r="J148" t="s">
        <v>41</v>
      </c>
      <c r="K148">
        <v>1058.94</v>
      </c>
      <c r="L148">
        <v>635.36400000000003</v>
      </c>
      <c r="M148">
        <v>9.99</v>
      </c>
      <c r="N148">
        <v>1255</v>
      </c>
      <c r="O148" t="s">
        <v>27</v>
      </c>
      <c r="P148">
        <v>106</v>
      </c>
    </row>
    <row r="149" spans="1:16" x14ac:dyDescent="0.35">
      <c r="A149">
        <v>787</v>
      </c>
      <c r="B149">
        <v>1971</v>
      </c>
      <c r="C149" t="str">
        <f>IF(book_sales[[#This Row],[Publishing Year]]&lt;1900,"Classic (Before 1900)",IF(book_sales[[#This Row],[Publishing Year]]&lt;2000,"20th Century (1900-1999)","21st Century (2000+)"))</f>
        <v>20th Century (1900-1999)</v>
      </c>
      <c r="D149" t="s">
        <v>1381</v>
      </c>
      <c r="E149" t="s">
        <v>1382</v>
      </c>
      <c r="F149" t="s">
        <v>17</v>
      </c>
      <c r="G149" t="s">
        <v>532</v>
      </c>
      <c r="H149">
        <v>4.01</v>
      </c>
      <c r="I149">
        <v>59295</v>
      </c>
      <c r="J149" t="s">
        <v>41</v>
      </c>
      <c r="K149">
        <v>343.85</v>
      </c>
      <c r="L149">
        <v>206.31</v>
      </c>
      <c r="M149">
        <v>2.99</v>
      </c>
      <c r="N149">
        <v>913</v>
      </c>
      <c r="O149" t="s">
        <v>20</v>
      </c>
      <c r="P149">
        <v>2916</v>
      </c>
    </row>
    <row r="150" spans="1:16" x14ac:dyDescent="0.35">
      <c r="A150">
        <v>913</v>
      </c>
      <c r="B150">
        <v>1982</v>
      </c>
      <c r="C150" t="str">
        <f>IF(book_sales[[#This Row],[Publishing Year]]&lt;1900,"Classic (Before 1900)",IF(book_sales[[#This Row],[Publishing Year]]&lt;2000,"20th Century (1900-1999)","21st Century (2000+)"))</f>
        <v>20th Century (1900-1999)</v>
      </c>
      <c r="D150" t="s">
        <v>1561</v>
      </c>
      <c r="E150" t="s">
        <v>1382</v>
      </c>
      <c r="G150" t="s">
        <v>532</v>
      </c>
      <c r="H150">
        <v>4.16</v>
      </c>
      <c r="I150">
        <v>54140</v>
      </c>
      <c r="J150" t="s">
        <v>19</v>
      </c>
      <c r="K150">
        <v>196.47</v>
      </c>
      <c r="L150">
        <v>0</v>
      </c>
      <c r="M150">
        <v>1.77</v>
      </c>
      <c r="N150">
        <v>1071</v>
      </c>
      <c r="O150" t="s">
        <v>27</v>
      </c>
      <c r="P150">
        <v>4360</v>
      </c>
    </row>
    <row r="151" spans="1:16" x14ac:dyDescent="0.35">
      <c r="A151">
        <v>783</v>
      </c>
      <c r="B151">
        <v>1859</v>
      </c>
      <c r="C151" t="str">
        <f>IF(book_sales[[#This Row],[Publishing Year]]&lt;1900,"Classic (Before 1900)",IF(book_sales[[#This Row],[Publishing Year]]&lt;2000,"20th Century (1900-1999)","21st Century (2000+)"))</f>
        <v>Classic (Before 1900)</v>
      </c>
      <c r="D151" t="s">
        <v>1373</v>
      </c>
      <c r="E151" t="s">
        <v>1374</v>
      </c>
      <c r="F151" t="s">
        <v>23</v>
      </c>
      <c r="G151" t="s">
        <v>24</v>
      </c>
      <c r="H151">
        <v>3.97</v>
      </c>
      <c r="I151">
        <v>64162</v>
      </c>
      <c r="J151" t="s">
        <v>19</v>
      </c>
      <c r="K151">
        <v>1033.8499999999999</v>
      </c>
      <c r="L151">
        <v>620.30999999999995</v>
      </c>
      <c r="M151">
        <v>8.99</v>
      </c>
      <c r="N151">
        <v>909</v>
      </c>
      <c r="O151" t="s">
        <v>20</v>
      </c>
      <c r="P151">
        <v>2943</v>
      </c>
    </row>
    <row r="152" spans="1:16" x14ac:dyDescent="0.35">
      <c r="A152">
        <v>59</v>
      </c>
      <c r="B152">
        <v>1849</v>
      </c>
      <c r="C152" t="str">
        <f>IF(book_sales[[#This Row],[Publishing Year]]&lt;1900,"Classic (Before 1900)",IF(book_sales[[#This Row],[Publishing Year]]&lt;2000,"20th Century (1900-1999)","21st Century (2000+)"))</f>
        <v>Classic (Before 1900)</v>
      </c>
      <c r="D152" t="s">
        <v>145</v>
      </c>
      <c r="E152" t="s">
        <v>146</v>
      </c>
      <c r="F152" t="s">
        <v>23</v>
      </c>
      <c r="G152" t="s">
        <v>24</v>
      </c>
      <c r="H152">
        <v>3.96</v>
      </c>
      <c r="I152">
        <v>150512</v>
      </c>
      <c r="J152" t="s">
        <v>19</v>
      </c>
      <c r="K152">
        <v>18394.849999999999</v>
      </c>
      <c r="L152">
        <v>11036.91</v>
      </c>
      <c r="M152">
        <v>11.39</v>
      </c>
      <c r="N152">
        <v>60</v>
      </c>
      <c r="O152" t="s">
        <v>31</v>
      </c>
      <c r="P152">
        <v>1615</v>
      </c>
    </row>
    <row r="153" spans="1:16" x14ac:dyDescent="0.35">
      <c r="A153">
        <v>946</v>
      </c>
      <c r="B153">
        <v>1853</v>
      </c>
      <c r="C153" t="str">
        <f>IF(book_sales[[#This Row],[Publishing Year]]&lt;1900,"Classic (Before 1900)",IF(book_sales[[#This Row],[Publishing Year]]&lt;2000,"20th Century (1900-1999)","21st Century (2000+)"))</f>
        <v>Classic (Before 1900)</v>
      </c>
      <c r="D153" t="s">
        <v>1615</v>
      </c>
      <c r="E153" t="s">
        <v>1616</v>
      </c>
      <c r="F153" t="s">
        <v>23</v>
      </c>
      <c r="G153" t="s">
        <v>24</v>
      </c>
      <c r="H153">
        <v>4</v>
      </c>
      <c r="I153">
        <v>67433</v>
      </c>
      <c r="J153" t="s">
        <v>19</v>
      </c>
      <c r="K153">
        <v>988.9</v>
      </c>
      <c r="L153">
        <v>593.34</v>
      </c>
      <c r="M153">
        <v>8.99</v>
      </c>
      <c r="N153">
        <v>1112</v>
      </c>
      <c r="O153" t="s">
        <v>20</v>
      </c>
      <c r="P153">
        <v>4320</v>
      </c>
    </row>
    <row r="154" spans="1:16" x14ac:dyDescent="0.35">
      <c r="A154">
        <v>6</v>
      </c>
      <c r="B154">
        <v>2011</v>
      </c>
      <c r="C154" t="str">
        <f>IF(book_sales[[#This Row],[Publishing Year]]&lt;1900,"Classic (Before 1900)",IF(book_sales[[#This Row],[Publishing Year]]&lt;2000,"20th Century (1900-1999)","21st Century (2000+)"))</f>
        <v>21st Century (2000+)</v>
      </c>
      <c r="D154" t="s">
        <v>37</v>
      </c>
      <c r="E154" t="s">
        <v>38</v>
      </c>
      <c r="F154" t="s">
        <v>23</v>
      </c>
      <c r="G154" t="s">
        <v>24</v>
      </c>
      <c r="H154">
        <v>4.03</v>
      </c>
      <c r="I154">
        <v>155977</v>
      </c>
      <c r="J154" t="s">
        <v>19</v>
      </c>
      <c r="K154">
        <v>27491.67</v>
      </c>
      <c r="L154">
        <v>16495.002</v>
      </c>
      <c r="M154">
        <v>6.99</v>
      </c>
      <c r="N154">
        <v>6</v>
      </c>
      <c r="O154" t="s">
        <v>20</v>
      </c>
      <c r="P154">
        <v>3933</v>
      </c>
    </row>
    <row r="155" spans="1:16" x14ac:dyDescent="0.35">
      <c r="A155">
        <v>74</v>
      </c>
      <c r="B155">
        <v>2007</v>
      </c>
      <c r="C155" t="str">
        <f>IF(book_sales[[#This Row],[Publishing Year]]&lt;1900,"Classic (Before 1900)",IF(book_sales[[#This Row],[Publishing Year]]&lt;2000,"20th Century (1900-1999)","21st Century (2000+)"))</f>
        <v>21st Century (2000+)</v>
      </c>
      <c r="D155" t="s">
        <v>174</v>
      </c>
      <c r="E155" t="s">
        <v>175</v>
      </c>
      <c r="G155" t="s">
        <v>24</v>
      </c>
      <c r="H155">
        <v>3.85</v>
      </c>
      <c r="I155">
        <v>127096</v>
      </c>
      <c r="J155" t="s">
        <v>19</v>
      </c>
      <c r="K155">
        <v>5462.31</v>
      </c>
      <c r="L155">
        <v>3277.386</v>
      </c>
      <c r="M155">
        <v>3.99</v>
      </c>
      <c r="N155">
        <v>76</v>
      </c>
      <c r="O155" t="s">
        <v>31</v>
      </c>
      <c r="P155">
        <v>1369</v>
      </c>
    </row>
    <row r="156" spans="1:16" x14ac:dyDescent="0.35">
      <c r="A156">
        <v>476</v>
      </c>
      <c r="B156">
        <v>2004</v>
      </c>
      <c r="C156" t="str">
        <f>IF(book_sales[[#This Row],[Publishing Year]]&lt;1900,"Classic (Before 1900)",IF(book_sales[[#This Row],[Publishing Year]]&lt;2000,"20th Century (1900-1999)","21st Century (2000+)"))</f>
        <v>21st Century (2000+)</v>
      </c>
      <c r="D156" t="s">
        <v>878</v>
      </c>
      <c r="E156" t="s">
        <v>175</v>
      </c>
      <c r="F156" t="s">
        <v>92</v>
      </c>
      <c r="G156" t="s">
        <v>24</v>
      </c>
      <c r="H156">
        <v>3.79</v>
      </c>
      <c r="I156">
        <v>83607</v>
      </c>
      <c r="J156" t="s">
        <v>41</v>
      </c>
      <c r="K156">
        <v>1294.54</v>
      </c>
      <c r="L156">
        <v>776.72400000000005</v>
      </c>
      <c r="M156">
        <v>7.66</v>
      </c>
      <c r="N156">
        <v>526</v>
      </c>
      <c r="O156" t="s">
        <v>66</v>
      </c>
      <c r="P156">
        <v>4563</v>
      </c>
    </row>
    <row r="157" spans="1:16" x14ac:dyDescent="0.35">
      <c r="A157">
        <v>1048</v>
      </c>
      <c r="B157">
        <v>2010</v>
      </c>
      <c r="C157" t="str">
        <f>IF(book_sales[[#This Row],[Publishing Year]]&lt;1900,"Classic (Before 1900)",IF(book_sales[[#This Row],[Publishing Year]]&lt;2000,"20th Century (1900-1999)","21st Century (2000+)"))</f>
        <v>21st Century (2000+)</v>
      </c>
      <c r="D157" t="s">
        <v>1771</v>
      </c>
      <c r="E157" t="s">
        <v>175</v>
      </c>
      <c r="F157" t="s">
        <v>17</v>
      </c>
      <c r="G157" t="s">
        <v>24</v>
      </c>
      <c r="H157">
        <v>3.81</v>
      </c>
      <c r="I157">
        <v>55355</v>
      </c>
      <c r="J157" t="s">
        <v>608</v>
      </c>
      <c r="K157">
        <v>477</v>
      </c>
      <c r="L157">
        <v>286.2</v>
      </c>
      <c r="M157">
        <v>4.5</v>
      </c>
      <c r="N157">
        <v>1241</v>
      </c>
      <c r="O157" t="s">
        <v>27</v>
      </c>
      <c r="P157">
        <v>106</v>
      </c>
    </row>
    <row r="158" spans="1:16" x14ac:dyDescent="0.35">
      <c r="A158">
        <v>554</v>
      </c>
      <c r="B158">
        <v>2004</v>
      </c>
      <c r="C158" t="str">
        <f>IF(book_sales[[#This Row],[Publishing Year]]&lt;1900,"Classic (Before 1900)",IF(book_sales[[#This Row],[Publishing Year]]&lt;2000,"20th Century (1900-1999)","21st Century (2000+)"))</f>
        <v>21st Century (2000+)</v>
      </c>
      <c r="D158" t="s">
        <v>1004</v>
      </c>
      <c r="E158" t="s">
        <v>1005</v>
      </c>
      <c r="F158" t="s">
        <v>92</v>
      </c>
      <c r="G158" t="s">
        <v>18</v>
      </c>
      <c r="H158">
        <v>3.43</v>
      </c>
      <c r="I158">
        <v>67438</v>
      </c>
      <c r="J158" t="s">
        <v>19</v>
      </c>
      <c r="K158">
        <v>146.52000000000001</v>
      </c>
      <c r="L158">
        <v>0</v>
      </c>
      <c r="M158">
        <v>0.99</v>
      </c>
      <c r="N158">
        <v>620</v>
      </c>
      <c r="O158" t="s">
        <v>27</v>
      </c>
      <c r="P158">
        <v>3996</v>
      </c>
    </row>
    <row r="159" spans="1:16" x14ac:dyDescent="0.35">
      <c r="A159">
        <v>594</v>
      </c>
      <c r="B159">
        <v>2009</v>
      </c>
      <c r="C159" t="str">
        <f>IF(book_sales[[#This Row],[Publishing Year]]&lt;1900,"Classic (Before 1900)",IF(book_sales[[#This Row],[Publishing Year]]&lt;2000,"20th Century (1900-1999)","21st Century (2000+)"))</f>
        <v>21st Century (2000+)</v>
      </c>
      <c r="D159" t="s">
        <v>1067</v>
      </c>
      <c r="E159" t="s">
        <v>1005</v>
      </c>
      <c r="F159" t="s">
        <v>23</v>
      </c>
      <c r="G159" t="s">
        <v>24</v>
      </c>
      <c r="H159">
        <v>3.42</v>
      </c>
      <c r="I159">
        <v>67866</v>
      </c>
      <c r="J159" t="s">
        <v>19</v>
      </c>
      <c r="K159">
        <v>836.4</v>
      </c>
      <c r="L159">
        <v>501.84</v>
      </c>
      <c r="M159">
        <v>6.15</v>
      </c>
      <c r="N159">
        <v>675</v>
      </c>
      <c r="O159" t="s">
        <v>27</v>
      </c>
      <c r="P159">
        <v>53352</v>
      </c>
    </row>
    <row r="160" spans="1:16" x14ac:dyDescent="0.35">
      <c r="A160">
        <v>878</v>
      </c>
      <c r="B160">
        <v>2008</v>
      </c>
      <c r="C160" t="str">
        <f>IF(book_sales[[#This Row],[Publishing Year]]&lt;1900,"Classic (Before 1900)",IF(book_sales[[#This Row],[Publishing Year]]&lt;2000,"20th Century (1900-1999)","21st Century (2000+)"))</f>
        <v>21st Century (2000+)</v>
      </c>
      <c r="D160" t="s">
        <v>1511</v>
      </c>
      <c r="E160" t="s">
        <v>1005</v>
      </c>
      <c r="F160" t="s">
        <v>23</v>
      </c>
      <c r="G160" t="s">
        <v>24</v>
      </c>
      <c r="H160">
        <v>2.97</v>
      </c>
      <c r="I160">
        <v>53331</v>
      </c>
      <c r="J160" t="s">
        <v>19</v>
      </c>
      <c r="K160">
        <v>894.88</v>
      </c>
      <c r="L160">
        <v>536.928</v>
      </c>
      <c r="M160">
        <v>7.99</v>
      </c>
      <c r="N160">
        <v>1032</v>
      </c>
      <c r="O160" t="s">
        <v>46</v>
      </c>
      <c r="P160">
        <v>4440</v>
      </c>
    </row>
    <row r="161" spans="1:16" x14ac:dyDescent="0.35">
      <c r="A161">
        <v>142</v>
      </c>
      <c r="B161">
        <v>2013</v>
      </c>
      <c r="C161" t="str">
        <f>IF(book_sales[[#This Row],[Publishing Year]]&lt;1900,"Classic (Before 1900)",IF(book_sales[[#This Row],[Publishing Year]]&lt;2000,"20th Century (1900-1999)","21st Century (2000+)"))</f>
        <v>21st Century (2000+)</v>
      </c>
      <c r="D161" t="s">
        <v>294</v>
      </c>
      <c r="E161" t="s">
        <v>295</v>
      </c>
      <c r="F161" t="s">
        <v>23</v>
      </c>
      <c r="G161" t="s">
        <v>24</v>
      </c>
      <c r="H161">
        <v>4.26</v>
      </c>
      <c r="I161">
        <v>113252</v>
      </c>
      <c r="J161" t="s">
        <v>19</v>
      </c>
      <c r="K161">
        <v>2992.5</v>
      </c>
      <c r="L161">
        <v>0</v>
      </c>
      <c r="M161">
        <v>3.99</v>
      </c>
      <c r="N161">
        <v>150</v>
      </c>
      <c r="O161" t="s">
        <v>27</v>
      </c>
      <c r="P161">
        <v>750</v>
      </c>
    </row>
    <row r="162" spans="1:16" x14ac:dyDescent="0.35">
      <c r="A162">
        <v>94</v>
      </c>
      <c r="B162">
        <v>1997</v>
      </c>
      <c r="C162" t="str">
        <f>IF(book_sales[[#This Row],[Publishing Year]]&lt;1900,"Classic (Before 1900)",IF(book_sales[[#This Row],[Publishing Year]]&lt;2000,"20th Century (1900-1999)","21st Century (2000+)"))</f>
        <v>20th Century (1900-1999)</v>
      </c>
      <c r="D162" t="s">
        <v>208</v>
      </c>
      <c r="E162" t="s">
        <v>209</v>
      </c>
      <c r="F162" t="s">
        <v>17</v>
      </c>
      <c r="G162" t="s">
        <v>24</v>
      </c>
      <c r="H162">
        <v>3.97</v>
      </c>
      <c r="I162">
        <v>133155</v>
      </c>
      <c r="J162" t="s">
        <v>19</v>
      </c>
      <c r="K162">
        <v>6885.89</v>
      </c>
      <c r="L162">
        <v>4131.5339999999997</v>
      </c>
      <c r="M162">
        <v>6.49</v>
      </c>
      <c r="N162">
        <v>96</v>
      </c>
      <c r="O162" t="s">
        <v>46</v>
      </c>
      <c r="P162">
        <v>1061</v>
      </c>
    </row>
    <row r="163" spans="1:16" x14ac:dyDescent="0.35">
      <c r="A163">
        <v>475</v>
      </c>
      <c r="B163">
        <v>2012</v>
      </c>
      <c r="C163" t="str">
        <f>IF(book_sales[[#This Row],[Publishing Year]]&lt;1900,"Classic (Before 1900)",IF(book_sales[[#This Row],[Publishing Year]]&lt;2000,"20th Century (1900-1999)","21st Century (2000+)"))</f>
        <v>21st Century (2000+)</v>
      </c>
      <c r="D163" t="s">
        <v>876</v>
      </c>
      <c r="E163" t="s">
        <v>877</v>
      </c>
      <c r="F163" t="s">
        <v>23</v>
      </c>
      <c r="G163" t="s">
        <v>24</v>
      </c>
      <c r="H163">
        <v>3.97</v>
      </c>
      <c r="I163">
        <v>61422</v>
      </c>
      <c r="J163" t="s">
        <v>19</v>
      </c>
      <c r="K163">
        <v>2153.06</v>
      </c>
      <c r="L163">
        <v>1291.836</v>
      </c>
      <c r="M163">
        <v>12.74</v>
      </c>
      <c r="N163">
        <v>525</v>
      </c>
      <c r="O163" t="s">
        <v>133</v>
      </c>
      <c r="P163">
        <v>4563</v>
      </c>
    </row>
    <row r="164" spans="1:16" x14ac:dyDescent="0.35">
      <c r="A164">
        <v>95</v>
      </c>
      <c r="B164">
        <v>1985</v>
      </c>
      <c r="C164" t="str">
        <f>IF(book_sales[[#This Row],[Publishing Year]]&lt;1900,"Classic (Before 1900)",IF(book_sales[[#This Row],[Publishing Year]]&lt;2000,"20th Century (1900-1999)","21st Century (2000+)"))</f>
        <v>20th Century (1900-1999)</v>
      </c>
      <c r="D164" t="s">
        <v>210</v>
      </c>
      <c r="E164" t="s">
        <v>211</v>
      </c>
      <c r="F164" t="s">
        <v>17</v>
      </c>
      <c r="G164" t="s">
        <v>24</v>
      </c>
      <c r="H164">
        <v>4.29</v>
      </c>
      <c r="I164">
        <v>168001</v>
      </c>
      <c r="J164" t="s">
        <v>41</v>
      </c>
      <c r="K164">
        <v>1035.54</v>
      </c>
      <c r="L164">
        <v>621.32399999999996</v>
      </c>
      <c r="M164">
        <v>0.99</v>
      </c>
      <c r="N164">
        <v>97</v>
      </c>
      <c r="O164" t="s">
        <v>27</v>
      </c>
      <c r="P164">
        <v>1046</v>
      </c>
    </row>
    <row r="165" spans="1:16" x14ac:dyDescent="0.35">
      <c r="A165">
        <v>612</v>
      </c>
      <c r="B165">
        <v>2013</v>
      </c>
      <c r="C165" t="str">
        <f>IF(book_sales[[#This Row],[Publishing Year]]&lt;1900,"Classic (Before 1900)",IF(book_sales[[#This Row],[Publishing Year]]&lt;2000,"20th Century (1900-1999)","21st Century (2000+)"))</f>
        <v>21st Century (2000+)</v>
      </c>
      <c r="D165" t="s">
        <v>1097</v>
      </c>
      <c r="E165" t="s">
        <v>1098</v>
      </c>
      <c r="F165" t="s">
        <v>23</v>
      </c>
      <c r="G165" t="s">
        <v>532</v>
      </c>
      <c r="H165">
        <v>4.05</v>
      </c>
      <c r="I165">
        <v>111668</v>
      </c>
      <c r="J165" t="s">
        <v>19</v>
      </c>
      <c r="K165">
        <v>394.68</v>
      </c>
      <c r="L165">
        <v>0</v>
      </c>
      <c r="M165">
        <v>2.99</v>
      </c>
      <c r="N165">
        <v>695</v>
      </c>
      <c r="O165" t="s">
        <v>27</v>
      </c>
      <c r="P165">
        <v>49896</v>
      </c>
    </row>
    <row r="166" spans="1:16" x14ac:dyDescent="0.35">
      <c r="A166">
        <v>786</v>
      </c>
      <c r="B166">
        <v>2000</v>
      </c>
      <c r="C166" t="str">
        <f>IF(book_sales[[#This Row],[Publishing Year]]&lt;1900,"Classic (Before 1900)",IF(book_sales[[#This Row],[Publishing Year]]&lt;2000,"20th Century (1900-1999)","21st Century (2000+)"))</f>
        <v>21st Century (2000+)</v>
      </c>
      <c r="D166" t="s">
        <v>1379</v>
      </c>
      <c r="E166" t="s">
        <v>1380</v>
      </c>
      <c r="F166" t="s">
        <v>23</v>
      </c>
      <c r="G166" t="s">
        <v>24</v>
      </c>
      <c r="H166">
        <v>3.73</v>
      </c>
      <c r="I166">
        <v>67768</v>
      </c>
      <c r="J166" t="s">
        <v>19</v>
      </c>
      <c r="K166">
        <v>573.85</v>
      </c>
      <c r="L166">
        <v>0</v>
      </c>
      <c r="M166">
        <v>4.99</v>
      </c>
      <c r="N166">
        <v>911</v>
      </c>
      <c r="O166" t="s">
        <v>27</v>
      </c>
      <c r="P166">
        <v>2916</v>
      </c>
    </row>
    <row r="167" spans="1:16" x14ac:dyDescent="0.35">
      <c r="A167">
        <v>763</v>
      </c>
      <c r="B167">
        <v>2007</v>
      </c>
      <c r="C167" t="str">
        <f>IF(book_sales[[#This Row],[Publishing Year]]&lt;1900,"Classic (Before 1900)",IF(book_sales[[#This Row],[Publishing Year]]&lt;2000,"20th Century (1900-1999)","21st Century (2000+)"))</f>
        <v>21st Century (2000+)</v>
      </c>
      <c r="D167" t="s">
        <v>1340</v>
      </c>
      <c r="E167" t="s">
        <v>1341</v>
      </c>
      <c r="F167" t="s">
        <v>23</v>
      </c>
      <c r="G167" t="s">
        <v>24</v>
      </c>
      <c r="H167">
        <v>3.96</v>
      </c>
      <c r="I167">
        <v>64347</v>
      </c>
      <c r="J167" t="s">
        <v>608</v>
      </c>
      <c r="K167">
        <v>694.84</v>
      </c>
      <c r="L167">
        <v>416.904</v>
      </c>
      <c r="M167">
        <v>5.99</v>
      </c>
      <c r="N167">
        <v>883</v>
      </c>
      <c r="O167" t="s">
        <v>27</v>
      </c>
      <c r="P167">
        <v>30456</v>
      </c>
    </row>
    <row r="168" spans="1:16" x14ac:dyDescent="0.35">
      <c r="A168">
        <v>146</v>
      </c>
      <c r="B168">
        <v>2009</v>
      </c>
      <c r="C168" t="str">
        <f>IF(book_sales[[#This Row],[Publishing Year]]&lt;1900,"Classic (Before 1900)",IF(book_sales[[#This Row],[Publishing Year]]&lt;2000,"20th Century (1900-1999)","21st Century (2000+)"))</f>
        <v>21st Century (2000+)</v>
      </c>
      <c r="D168" t="s">
        <v>300</v>
      </c>
      <c r="E168" t="s">
        <v>301</v>
      </c>
      <c r="F168" t="s">
        <v>23</v>
      </c>
      <c r="G168" t="s">
        <v>24</v>
      </c>
      <c r="H168">
        <v>4.2699999999999996</v>
      </c>
      <c r="I168">
        <v>109642</v>
      </c>
      <c r="J168" t="s">
        <v>19</v>
      </c>
      <c r="K168">
        <v>3642.7</v>
      </c>
      <c r="L168">
        <v>0</v>
      </c>
      <c r="M168">
        <v>4.99</v>
      </c>
      <c r="N168">
        <v>154</v>
      </c>
      <c r="O168" t="s">
        <v>27</v>
      </c>
      <c r="P168">
        <v>730</v>
      </c>
    </row>
    <row r="169" spans="1:16" x14ac:dyDescent="0.35">
      <c r="A169">
        <v>212</v>
      </c>
      <c r="B169">
        <v>2002</v>
      </c>
      <c r="C169" t="str">
        <f>IF(book_sales[[#This Row],[Publishing Year]]&lt;1900,"Classic (Before 1900)",IF(book_sales[[#This Row],[Publishing Year]]&lt;2000,"20th Century (1900-1999)","21st Century (2000+)"))</f>
        <v>21st Century (2000+)</v>
      </c>
      <c r="D169" t="s">
        <v>414</v>
      </c>
      <c r="E169" t="s">
        <v>415</v>
      </c>
      <c r="F169" t="s">
        <v>17</v>
      </c>
      <c r="G169" t="s">
        <v>24</v>
      </c>
      <c r="H169">
        <v>4.26</v>
      </c>
      <c r="I169">
        <v>118576</v>
      </c>
      <c r="J169" t="s">
        <v>19</v>
      </c>
      <c r="K169">
        <v>4792.5</v>
      </c>
      <c r="L169">
        <v>2875.5</v>
      </c>
      <c r="M169">
        <v>10.65</v>
      </c>
      <c r="N169">
        <v>230</v>
      </c>
      <c r="O169" t="s">
        <v>46</v>
      </c>
      <c r="P169">
        <v>450</v>
      </c>
    </row>
    <row r="170" spans="1:16" x14ac:dyDescent="0.35">
      <c r="A170">
        <v>622</v>
      </c>
      <c r="B170">
        <v>2006</v>
      </c>
      <c r="C170" t="str">
        <f>IF(book_sales[[#This Row],[Publishing Year]]&lt;1900,"Classic (Before 1900)",IF(book_sales[[#This Row],[Publishing Year]]&lt;2000,"20th Century (1900-1999)","21st Century (2000+)"))</f>
        <v>21st Century (2000+)</v>
      </c>
      <c r="D170" t="s">
        <v>1113</v>
      </c>
      <c r="E170" t="s">
        <v>415</v>
      </c>
      <c r="F170" t="s">
        <v>17</v>
      </c>
      <c r="G170" t="s">
        <v>532</v>
      </c>
      <c r="H170">
        <v>4.08</v>
      </c>
      <c r="I170">
        <v>78523</v>
      </c>
      <c r="J170" t="s">
        <v>41</v>
      </c>
      <c r="K170">
        <v>127.71</v>
      </c>
      <c r="L170">
        <v>76.626000000000005</v>
      </c>
      <c r="M170">
        <v>0.99</v>
      </c>
      <c r="N170">
        <v>707</v>
      </c>
      <c r="O170" t="s">
        <v>27</v>
      </c>
      <c r="P170">
        <v>48168</v>
      </c>
    </row>
    <row r="171" spans="1:16" x14ac:dyDescent="0.35">
      <c r="A171">
        <v>117</v>
      </c>
      <c r="B171">
        <v>2011</v>
      </c>
      <c r="C171" t="str">
        <f>IF(book_sales[[#This Row],[Publishing Year]]&lt;1900,"Classic (Before 1900)",IF(book_sales[[#This Row],[Publishing Year]]&lt;2000,"20th Century (1900-1999)","21st Century (2000+)"))</f>
        <v>21st Century (2000+)</v>
      </c>
      <c r="D171" t="s">
        <v>249</v>
      </c>
      <c r="E171" t="s">
        <v>250</v>
      </c>
      <c r="F171" t="s">
        <v>17</v>
      </c>
      <c r="G171" t="s">
        <v>24</v>
      </c>
      <c r="H171">
        <v>4.08</v>
      </c>
      <c r="I171">
        <v>146905</v>
      </c>
      <c r="J171" t="s">
        <v>41</v>
      </c>
      <c r="K171">
        <v>10731.05</v>
      </c>
      <c r="L171">
        <v>6438.63</v>
      </c>
      <c r="M171">
        <v>11.99</v>
      </c>
      <c r="N171">
        <v>121</v>
      </c>
      <c r="O171" t="s">
        <v>46</v>
      </c>
      <c r="P171">
        <v>895</v>
      </c>
    </row>
    <row r="172" spans="1:16" x14ac:dyDescent="0.35">
      <c r="A172">
        <v>838</v>
      </c>
      <c r="B172">
        <v>1999</v>
      </c>
      <c r="C172" t="str">
        <f>IF(book_sales[[#This Row],[Publishing Year]]&lt;1900,"Classic (Before 1900)",IF(book_sales[[#This Row],[Publishing Year]]&lt;2000,"20th Century (1900-1999)","21st Century (2000+)"))</f>
        <v>20th Century (1900-1999)</v>
      </c>
      <c r="D172" t="s">
        <v>1452</v>
      </c>
      <c r="E172" t="s">
        <v>1453</v>
      </c>
      <c r="F172" t="s">
        <v>23</v>
      </c>
      <c r="G172" t="s">
        <v>24</v>
      </c>
      <c r="H172">
        <v>3.89</v>
      </c>
      <c r="I172">
        <v>73000</v>
      </c>
      <c r="J172" t="s">
        <v>19</v>
      </c>
      <c r="K172">
        <v>431.66</v>
      </c>
      <c r="L172">
        <v>258.99599999999998</v>
      </c>
      <c r="M172">
        <v>3.82</v>
      </c>
      <c r="N172">
        <v>980</v>
      </c>
      <c r="O172" t="s">
        <v>27</v>
      </c>
      <c r="P172">
        <v>2889</v>
      </c>
    </row>
    <row r="173" spans="1:16" x14ac:dyDescent="0.35">
      <c r="A173">
        <v>861</v>
      </c>
      <c r="B173">
        <v>2003</v>
      </c>
      <c r="C173" t="str">
        <f>IF(book_sales[[#This Row],[Publishing Year]]&lt;1900,"Classic (Before 1900)",IF(book_sales[[#This Row],[Publishing Year]]&lt;2000,"20th Century (1900-1999)","21st Century (2000+)"))</f>
        <v>21st Century (2000+)</v>
      </c>
      <c r="D173" t="s">
        <v>1486</v>
      </c>
      <c r="E173" t="s">
        <v>1487</v>
      </c>
      <c r="F173" t="s">
        <v>17</v>
      </c>
      <c r="G173" t="s">
        <v>24</v>
      </c>
      <c r="H173">
        <v>3.75</v>
      </c>
      <c r="I173">
        <v>56548</v>
      </c>
      <c r="J173" t="s">
        <v>19</v>
      </c>
      <c r="K173">
        <v>111.87</v>
      </c>
      <c r="L173">
        <v>67.122</v>
      </c>
      <c r="M173">
        <v>0.99</v>
      </c>
      <c r="N173">
        <v>1007</v>
      </c>
      <c r="O173" t="s">
        <v>27</v>
      </c>
      <c r="P173">
        <v>2862</v>
      </c>
    </row>
    <row r="174" spans="1:16" x14ac:dyDescent="0.35">
      <c r="A174">
        <v>323</v>
      </c>
      <c r="B174">
        <v>1999</v>
      </c>
      <c r="C174" t="str">
        <f>IF(book_sales[[#This Row],[Publishing Year]]&lt;1900,"Classic (Before 1900)",IF(book_sales[[#This Row],[Publishing Year]]&lt;2000,"20th Century (1900-1999)","21st Century (2000+)"))</f>
        <v>20th Century (1900-1999)</v>
      </c>
      <c r="D174" t="s">
        <v>613</v>
      </c>
      <c r="E174" t="s">
        <v>614</v>
      </c>
      <c r="F174" t="s">
        <v>23</v>
      </c>
      <c r="G174" t="s">
        <v>24</v>
      </c>
      <c r="H174">
        <v>4</v>
      </c>
      <c r="I174">
        <v>54937</v>
      </c>
      <c r="J174" t="s">
        <v>19</v>
      </c>
      <c r="K174">
        <v>771.42</v>
      </c>
      <c r="L174">
        <v>462.85199999999998</v>
      </c>
      <c r="M174">
        <v>2.99</v>
      </c>
      <c r="N174">
        <v>345</v>
      </c>
      <c r="O174" t="s">
        <v>66</v>
      </c>
      <c r="P174">
        <v>258</v>
      </c>
    </row>
    <row r="175" spans="1:16" x14ac:dyDescent="0.35">
      <c r="A175">
        <v>420</v>
      </c>
      <c r="B175">
        <v>1999</v>
      </c>
      <c r="C175" t="str">
        <f>IF(book_sales[[#This Row],[Publishing Year]]&lt;1900,"Classic (Before 1900)",IF(book_sales[[#This Row],[Publishing Year]]&lt;2000,"20th Century (1900-1999)","21st Century (2000+)"))</f>
        <v>20th Century (1900-1999)</v>
      </c>
      <c r="D175" t="s">
        <v>786</v>
      </c>
      <c r="E175" t="s">
        <v>614</v>
      </c>
      <c r="F175" t="s">
        <v>17</v>
      </c>
      <c r="G175" t="s">
        <v>24</v>
      </c>
      <c r="H175">
        <v>3.93</v>
      </c>
      <c r="I175">
        <v>49551</v>
      </c>
      <c r="J175" t="s">
        <v>19</v>
      </c>
      <c r="K175">
        <v>192.06</v>
      </c>
      <c r="L175">
        <v>115.236</v>
      </c>
      <c r="M175">
        <v>0.99</v>
      </c>
      <c r="N175">
        <v>462</v>
      </c>
      <c r="O175" t="s">
        <v>20</v>
      </c>
      <c r="P175">
        <v>5238</v>
      </c>
    </row>
    <row r="176" spans="1:16" x14ac:dyDescent="0.35">
      <c r="A176">
        <v>593</v>
      </c>
      <c r="B176">
        <v>2002</v>
      </c>
      <c r="C176" t="str">
        <f>IF(book_sales[[#This Row],[Publishing Year]]&lt;1900,"Classic (Before 1900)",IF(book_sales[[#This Row],[Publishing Year]]&lt;2000,"20th Century (1900-1999)","21st Century (2000+)"))</f>
        <v>21st Century (2000+)</v>
      </c>
      <c r="D176" t="s">
        <v>1066</v>
      </c>
      <c r="E176" t="s">
        <v>614</v>
      </c>
      <c r="G176" t="s">
        <v>24</v>
      </c>
      <c r="H176">
        <v>3.73</v>
      </c>
      <c r="I176">
        <v>66713</v>
      </c>
      <c r="J176" t="s">
        <v>19</v>
      </c>
      <c r="K176">
        <v>1094.6300000000001</v>
      </c>
      <c r="L176">
        <v>656.77800000000002</v>
      </c>
      <c r="M176">
        <v>7.99</v>
      </c>
      <c r="N176">
        <v>671</v>
      </c>
      <c r="O176" t="s">
        <v>31</v>
      </c>
      <c r="P176">
        <v>53352</v>
      </c>
    </row>
    <row r="177" spans="1:16" x14ac:dyDescent="0.35">
      <c r="A177">
        <v>705</v>
      </c>
      <c r="B177">
        <v>2005</v>
      </c>
      <c r="C177" t="str">
        <f>IF(book_sales[[#This Row],[Publishing Year]]&lt;1900,"Classic (Before 1900)",IF(book_sales[[#This Row],[Publishing Year]]&lt;2000,"20th Century (1900-1999)","21st Century (2000+)"))</f>
        <v>21st Century (2000+)</v>
      </c>
      <c r="D177" t="s">
        <v>1248</v>
      </c>
      <c r="E177" t="s">
        <v>614</v>
      </c>
      <c r="F177" t="s">
        <v>23</v>
      </c>
      <c r="G177" t="s">
        <v>24</v>
      </c>
      <c r="H177">
        <v>3.59</v>
      </c>
      <c r="I177">
        <v>68861</v>
      </c>
      <c r="J177" t="s">
        <v>30</v>
      </c>
      <c r="K177">
        <v>234.82</v>
      </c>
      <c r="L177">
        <v>140.892</v>
      </c>
      <c r="M177">
        <v>1.99</v>
      </c>
      <c r="N177">
        <v>810</v>
      </c>
      <c r="O177" t="s">
        <v>66</v>
      </c>
      <c r="P177">
        <v>35424</v>
      </c>
    </row>
    <row r="178" spans="1:16" x14ac:dyDescent="0.35">
      <c r="A178">
        <v>858</v>
      </c>
      <c r="B178">
        <v>2003</v>
      </c>
      <c r="C178" t="str">
        <f>IF(book_sales[[#This Row],[Publishing Year]]&lt;1900,"Classic (Before 1900)",IF(book_sales[[#This Row],[Publishing Year]]&lt;2000,"20th Century (1900-1999)","21st Century (2000+)"))</f>
        <v>21st Century (2000+)</v>
      </c>
      <c r="D178" t="s">
        <v>1482</v>
      </c>
      <c r="E178" t="s">
        <v>614</v>
      </c>
      <c r="F178" t="s">
        <v>23</v>
      </c>
      <c r="G178" t="s">
        <v>24</v>
      </c>
      <c r="H178">
        <v>3.6</v>
      </c>
      <c r="I178">
        <v>58428</v>
      </c>
      <c r="J178" t="s">
        <v>19</v>
      </c>
      <c r="K178">
        <v>1015.87</v>
      </c>
      <c r="L178">
        <v>609.52200000000005</v>
      </c>
      <c r="M178">
        <v>8.99</v>
      </c>
      <c r="N178">
        <v>1006</v>
      </c>
      <c r="O178" t="s">
        <v>31</v>
      </c>
      <c r="P178">
        <v>2862</v>
      </c>
    </row>
    <row r="179" spans="1:16" x14ac:dyDescent="0.35">
      <c r="A179">
        <v>8</v>
      </c>
      <c r="B179">
        <v>2012</v>
      </c>
      <c r="C179" t="str">
        <f>IF(book_sales[[#This Row],[Publishing Year]]&lt;1900,"Classic (Before 1900)",IF(book_sales[[#This Row],[Publishing Year]]&lt;2000,"20th Century (1900-1999)","21st Century (2000+)"))</f>
        <v>21st Century (2000+)</v>
      </c>
      <c r="D179" t="s">
        <v>42</v>
      </c>
      <c r="E179" t="s">
        <v>43</v>
      </c>
      <c r="F179" t="s">
        <v>23</v>
      </c>
      <c r="G179" t="s">
        <v>24</v>
      </c>
      <c r="H179">
        <v>4.34</v>
      </c>
      <c r="I179">
        <v>189938</v>
      </c>
      <c r="J179" t="s">
        <v>19</v>
      </c>
      <c r="K179">
        <v>26093.67</v>
      </c>
      <c r="L179">
        <v>15656.201999999999</v>
      </c>
      <c r="M179">
        <v>6.99</v>
      </c>
      <c r="N179">
        <v>9</v>
      </c>
      <c r="O179" t="s">
        <v>20</v>
      </c>
      <c r="P179">
        <v>3733</v>
      </c>
    </row>
    <row r="180" spans="1:16" x14ac:dyDescent="0.35">
      <c r="A180">
        <v>113</v>
      </c>
      <c r="B180">
        <v>2012</v>
      </c>
      <c r="C180" t="str">
        <f>IF(book_sales[[#This Row],[Publishing Year]]&lt;1900,"Classic (Before 1900)",IF(book_sales[[#This Row],[Publishing Year]]&lt;2000,"20th Century (1900-1999)","21st Century (2000+)"))</f>
        <v>21st Century (2000+)</v>
      </c>
      <c r="D180" t="s">
        <v>242</v>
      </c>
      <c r="E180" t="s">
        <v>43</v>
      </c>
      <c r="F180" t="s">
        <v>23</v>
      </c>
      <c r="G180" t="s">
        <v>24</v>
      </c>
      <c r="H180">
        <v>4.29</v>
      </c>
      <c r="I180">
        <v>153882</v>
      </c>
      <c r="J180" t="s">
        <v>19</v>
      </c>
      <c r="K180">
        <v>900.9</v>
      </c>
      <c r="L180">
        <v>0</v>
      </c>
      <c r="M180">
        <v>0.99</v>
      </c>
      <c r="N180">
        <v>118</v>
      </c>
      <c r="O180" t="s">
        <v>27</v>
      </c>
      <c r="P180">
        <v>910</v>
      </c>
    </row>
    <row r="181" spans="1:16" x14ac:dyDescent="0.35">
      <c r="A181">
        <v>431</v>
      </c>
      <c r="B181">
        <v>2012</v>
      </c>
      <c r="C181" t="str">
        <f>IF(book_sales[[#This Row],[Publishing Year]]&lt;1900,"Classic (Before 1900)",IF(book_sales[[#This Row],[Publishing Year]]&lt;2000,"20th Century (1900-1999)","21st Century (2000+)"))</f>
        <v>21st Century (2000+)</v>
      </c>
      <c r="D181" t="s">
        <v>803</v>
      </c>
      <c r="E181" t="s">
        <v>43</v>
      </c>
      <c r="F181" t="s">
        <v>23</v>
      </c>
      <c r="G181" t="s">
        <v>532</v>
      </c>
      <c r="H181">
        <v>4.3</v>
      </c>
      <c r="I181">
        <v>109344</v>
      </c>
      <c r="J181" t="s">
        <v>19</v>
      </c>
      <c r="K181">
        <v>185.13</v>
      </c>
      <c r="L181">
        <v>0</v>
      </c>
      <c r="M181">
        <v>0.99</v>
      </c>
      <c r="N181">
        <v>475</v>
      </c>
      <c r="O181" t="s">
        <v>27</v>
      </c>
      <c r="P181">
        <v>5049</v>
      </c>
    </row>
    <row r="182" spans="1:16" x14ac:dyDescent="0.35">
      <c r="A182">
        <v>579</v>
      </c>
      <c r="B182">
        <v>2014</v>
      </c>
      <c r="C182" t="str">
        <f>IF(book_sales[[#This Row],[Publishing Year]]&lt;1900,"Classic (Before 1900)",IF(book_sales[[#This Row],[Publishing Year]]&lt;2000,"20th Century (1900-1999)","21st Century (2000+)"))</f>
        <v>21st Century (2000+)</v>
      </c>
      <c r="D182" t="s">
        <v>1046</v>
      </c>
      <c r="E182" t="s">
        <v>43</v>
      </c>
      <c r="F182" t="s">
        <v>23</v>
      </c>
      <c r="G182" t="s">
        <v>532</v>
      </c>
      <c r="H182">
        <v>4.33</v>
      </c>
      <c r="I182">
        <v>81707</v>
      </c>
      <c r="J182" t="s">
        <v>19</v>
      </c>
      <c r="K182">
        <v>969.86</v>
      </c>
      <c r="L182">
        <v>581.91600000000005</v>
      </c>
      <c r="M182">
        <v>6.83</v>
      </c>
      <c r="N182">
        <v>649</v>
      </c>
      <c r="O182" t="s">
        <v>46</v>
      </c>
      <c r="P182">
        <v>61128</v>
      </c>
    </row>
    <row r="183" spans="1:16" x14ac:dyDescent="0.35">
      <c r="A183">
        <v>599</v>
      </c>
      <c r="B183">
        <v>2014</v>
      </c>
      <c r="C183" t="str">
        <f>IF(book_sales[[#This Row],[Publishing Year]]&lt;1900,"Classic (Before 1900)",IF(book_sales[[#This Row],[Publishing Year]]&lt;2000,"20th Century (1900-1999)","21st Century (2000+)"))</f>
        <v>21st Century (2000+)</v>
      </c>
      <c r="D183" t="s">
        <v>1075</v>
      </c>
      <c r="E183" t="s">
        <v>43</v>
      </c>
      <c r="F183" t="s">
        <v>23</v>
      </c>
      <c r="G183" t="s">
        <v>532</v>
      </c>
      <c r="H183">
        <v>4.3</v>
      </c>
      <c r="I183">
        <v>107583</v>
      </c>
      <c r="J183" t="s">
        <v>19</v>
      </c>
      <c r="K183">
        <v>808.65</v>
      </c>
      <c r="L183">
        <v>485.19</v>
      </c>
      <c r="M183">
        <v>5.99</v>
      </c>
      <c r="N183">
        <v>681</v>
      </c>
      <c r="O183" t="s">
        <v>46</v>
      </c>
      <c r="P183">
        <v>52488</v>
      </c>
    </row>
    <row r="184" spans="1:16" x14ac:dyDescent="0.35">
      <c r="A184">
        <v>1037</v>
      </c>
      <c r="B184">
        <v>2016</v>
      </c>
      <c r="C184" t="str">
        <f>IF(book_sales[[#This Row],[Publishing Year]]&lt;1900,"Classic (Before 1900)",IF(book_sales[[#This Row],[Publishing Year]]&lt;2000,"20th Century (1900-1999)","21st Century (2000+)"))</f>
        <v>21st Century (2000+)</v>
      </c>
      <c r="D184" t="s">
        <v>1753</v>
      </c>
      <c r="E184" t="s">
        <v>43</v>
      </c>
      <c r="F184" t="s">
        <v>23</v>
      </c>
      <c r="G184" t="s">
        <v>53</v>
      </c>
      <c r="H184">
        <v>4.4400000000000004</v>
      </c>
      <c r="I184">
        <v>80433</v>
      </c>
      <c r="J184" t="s">
        <v>30</v>
      </c>
      <c r="K184">
        <v>747.93</v>
      </c>
      <c r="L184">
        <v>448.75799999999998</v>
      </c>
      <c r="M184">
        <v>6.99</v>
      </c>
      <c r="N184">
        <v>1223</v>
      </c>
      <c r="O184" t="s">
        <v>34</v>
      </c>
      <c r="P184">
        <v>107</v>
      </c>
    </row>
    <row r="185" spans="1:16" x14ac:dyDescent="0.35">
      <c r="A185">
        <v>991</v>
      </c>
      <c r="B185">
        <v>2009</v>
      </c>
      <c r="C185" t="str">
        <f>IF(book_sales[[#This Row],[Publishing Year]]&lt;1900,"Classic (Before 1900)",IF(book_sales[[#This Row],[Publishing Year]]&lt;2000,"20th Century (1900-1999)","21st Century (2000+)"))</f>
        <v>21st Century (2000+)</v>
      </c>
      <c r="D185" t="s">
        <v>1684</v>
      </c>
      <c r="E185" t="s">
        <v>1685</v>
      </c>
      <c r="F185" t="s">
        <v>23</v>
      </c>
      <c r="G185" t="s">
        <v>24</v>
      </c>
      <c r="H185">
        <v>3.63</v>
      </c>
      <c r="I185">
        <v>55459</v>
      </c>
      <c r="J185" t="s">
        <v>19</v>
      </c>
      <c r="K185">
        <v>1659.96</v>
      </c>
      <c r="L185">
        <v>995.976</v>
      </c>
      <c r="M185">
        <v>15.37</v>
      </c>
      <c r="N185">
        <v>1168</v>
      </c>
      <c r="O185" t="s">
        <v>27</v>
      </c>
      <c r="P185">
        <v>108</v>
      </c>
    </row>
    <row r="186" spans="1:16" x14ac:dyDescent="0.35">
      <c r="A186">
        <v>1008</v>
      </c>
      <c r="B186">
        <v>2016</v>
      </c>
      <c r="C186" t="str">
        <f>IF(book_sales[[#This Row],[Publishing Year]]&lt;1900,"Classic (Before 1900)",IF(book_sales[[#This Row],[Publishing Year]]&lt;2000,"20th Century (1900-1999)","21st Century (2000+)"))</f>
        <v>21st Century (2000+)</v>
      </c>
      <c r="D186" t="s">
        <v>1710</v>
      </c>
      <c r="E186" t="s">
        <v>1711</v>
      </c>
      <c r="F186" t="s">
        <v>23</v>
      </c>
      <c r="G186" t="s">
        <v>532</v>
      </c>
      <c r="H186">
        <v>4.04</v>
      </c>
      <c r="I186">
        <v>72052</v>
      </c>
      <c r="J186" t="s">
        <v>19</v>
      </c>
      <c r="K186">
        <v>538.91999999999996</v>
      </c>
      <c r="L186">
        <v>0</v>
      </c>
      <c r="M186">
        <v>4.99</v>
      </c>
      <c r="N186">
        <v>1195</v>
      </c>
      <c r="O186" t="s">
        <v>27</v>
      </c>
      <c r="P186">
        <v>108</v>
      </c>
    </row>
    <row r="187" spans="1:16" x14ac:dyDescent="0.35">
      <c r="A187">
        <v>605</v>
      </c>
      <c r="B187">
        <v>2009</v>
      </c>
      <c r="C187" t="str">
        <f>IF(book_sales[[#This Row],[Publishing Year]]&lt;1900,"Classic (Before 1900)",IF(book_sales[[#This Row],[Publishing Year]]&lt;2000,"20th Century (1900-1999)","21st Century (2000+)"))</f>
        <v>21st Century (2000+)</v>
      </c>
      <c r="D187" t="s">
        <v>1085</v>
      </c>
      <c r="E187" t="s">
        <v>1086</v>
      </c>
      <c r="F187" t="s">
        <v>17</v>
      </c>
      <c r="G187" t="s">
        <v>24</v>
      </c>
      <c r="H187">
        <v>3.93</v>
      </c>
      <c r="I187">
        <v>71515</v>
      </c>
      <c r="J187" t="s">
        <v>19</v>
      </c>
      <c r="K187">
        <v>394.68</v>
      </c>
      <c r="L187">
        <v>0</v>
      </c>
      <c r="M187">
        <v>2.99</v>
      </c>
      <c r="N187">
        <v>692</v>
      </c>
      <c r="O187" t="s">
        <v>27</v>
      </c>
      <c r="P187">
        <v>51192</v>
      </c>
    </row>
    <row r="188" spans="1:16" x14ac:dyDescent="0.35">
      <c r="A188">
        <v>1011</v>
      </c>
      <c r="B188">
        <v>2012</v>
      </c>
      <c r="C188" t="str">
        <f>IF(book_sales[[#This Row],[Publishing Year]]&lt;1900,"Classic (Before 1900)",IF(book_sales[[#This Row],[Publishing Year]]&lt;2000,"20th Century (1900-1999)","21st Century (2000+)"))</f>
        <v>21st Century (2000+)</v>
      </c>
      <c r="D188" t="s">
        <v>1714</v>
      </c>
      <c r="E188" t="s">
        <v>1715</v>
      </c>
      <c r="F188" t="s">
        <v>23</v>
      </c>
      <c r="G188" t="s">
        <v>24</v>
      </c>
      <c r="H188">
        <v>3.77</v>
      </c>
      <c r="I188">
        <v>84438</v>
      </c>
      <c r="J188" t="s">
        <v>19</v>
      </c>
      <c r="K188">
        <v>538.91999999999996</v>
      </c>
      <c r="L188">
        <v>323.35199999999998</v>
      </c>
      <c r="M188">
        <v>4.99</v>
      </c>
      <c r="N188">
        <v>1197</v>
      </c>
      <c r="O188" t="s">
        <v>20</v>
      </c>
      <c r="P188">
        <v>108</v>
      </c>
    </row>
    <row r="189" spans="1:16" x14ac:dyDescent="0.35">
      <c r="A189">
        <v>284</v>
      </c>
      <c r="B189">
        <v>2005</v>
      </c>
      <c r="C189" t="str">
        <f>IF(book_sales[[#This Row],[Publishing Year]]&lt;1900,"Classic (Before 1900)",IF(book_sales[[#This Row],[Publishing Year]]&lt;2000,"20th Century (1900-1999)","21st Century (2000+)"))</f>
        <v>21st Century (2000+)</v>
      </c>
      <c r="D189" t="s">
        <v>540</v>
      </c>
      <c r="E189" t="s">
        <v>541</v>
      </c>
      <c r="F189" t="s">
        <v>23</v>
      </c>
      <c r="G189" t="s">
        <v>532</v>
      </c>
      <c r="H189">
        <v>4.12</v>
      </c>
      <c r="I189">
        <v>100513</v>
      </c>
      <c r="J189" t="s">
        <v>19</v>
      </c>
      <c r="K189">
        <v>1611.77</v>
      </c>
      <c r="L189">
        <v>967.06200000000001</v>
      </c>
      <c r="M189">
        <v>4.99</v>
      </c>
      <c r="N189">
        <v>306</v>
      </c>
      <c r="O189" t="s">
        <v>66</v>
      </c>
      <c r="P189">
        <v>323</v>
      </c>
    </row>
    <row r="190" spans="1:16" x14ac:dyDescent="0.35">
      <c r="A190">
        <v>590</v>
      </c>
      <c r="B190">
        <v>1985</v>
      </c>
      <c r="C190" t="str">
        <f>IF(book_sales[[#This Row],[Publishing Year]]&lt;1900,"Classic (Before 1900)",IF(book_sales[[#This Row],[Publishing Year]]&lt;2000,"20th Century (1900-1999)","21st Century (2000+)"))</f>
        <v>20th Century (1900-1999)</v>
      </c>
      <c r="D190" t="s">
        <v>1063</v>
      </c>
      <c r="E190" t="s">
        <v>541</v>
      </c>
      <c r="F190" t="s">
        <v>23</v>
      </c>
      <c r="G190" t="s">
        <v>532</v>
      </c>
      <c r="H190">
        <v>4.18</v>
      </c>
      <c r="I190">
        <v>71095</v>
      </c>
      <c r="J190" t="s">
        <v>19</v>
      </c>
      <c r="K190">
        <v>725.88</v>
      </c>
      <c r="L190">
        <v>435.52800000000002</v>
      </c>
      <c r="M190">
        <v>5.26</v>
      </c>
      <c r="N190">
        <v>665</v>
      </c>
      <c r="O190" t="s">
        <v>34</v>
      </c>
      <c r="P190">
        <v>53784</v>
      </c>
    </row>
    <row r="191" spans="1:16" x14ac:dyDescent="0.35">
      <c r="A191">
        <v>788</v>
      </c>
      <c r="B191">
        <v>1992</v>
      </c>
      <c r="C191" t="str">
        <f>IF(book_sales[[#This Row],[Publishing Year]]&lt;1900,"Classic (Before 1900)",IF(book_sales[[#This Row],[Publishing Year]]&lt;2000,"20th Century (1900-1999)","21st Century (2000+)"))</f>
        <v>20th Century (1900-1999)</v>
      </c>
      <c r="D191" t="s">
        <v>1383</v>
      </c>
      <c r="E191" t="s">
        <v>541</v>
      </c>
      <c r="F191" t="s">
        <v>23</v>
      </c>
      <c r="G191" t="s">
        <v>24</v>
      </c>
      <c r="H191">
        <v>3.97</v>
      </c>
      <c r="I191">
        <v>68451</v>
      </c>
      <c r="J191" t="s">
        <v>19</v>
      </c>
      <c r="K191">
        <v>458.85</v>
      </c>
      <c r="L191">
        <v>0</v>
      </c>
      <c r="M191">
        <v>3.99</v>
      </c>
      <c r="N191">
        <v>914</v>
      </c>
      <c r="O191" t="s">
        <v>27</v>
      </c>
      <c r="P191">
        <v>2916</v>
      </c>
    </row>
    <row r="192" spans="1:16" x14ac:dyDescent="0.35">
      <c r="A192">
        <v>860</v>
      </c>
      <c r="B192">
        <v>2005</v>
      </c>
      <c r="C192" t="str">
        <f>IF(book_sales[[#This Row],[Publishing Year]]&lt;1900,"Classic (Before 1900)",IF(book_sales[[#This Row],[Publishing Year]]&lt;2000,"20th Century (1900-1999)","21st Century (2000+)"))</f>
        <v>21st Century (2000+)</v>
      </c>
      <c r="D192" t="s">
        <v>1484</v>
      </c>
      <c r="E192" t="s">
        <v>1485</v>
      </c>
      <c r="F192" t="s">
        <v>23</v>
      </c>
      <c r="G192" t="s">
        <v>24</v>
      </c>
      <c r="H192">
        <v>3.91</v>
      </c>
      <c r="I192">
        <v>82291</v>
      </c>
      <c r="J192" t="s">
        <v>19</v>
      </c>
      <c r="K192">
        <v>789.87</v>
      </c>
      <c r="L192">
        <v>473.92200000000003</v>
      </c>
      <c r="M192">
        <v>6.99</v>
      </c>
      <c r="N192">
        <v>1007</v>
      </c>
      <c r="O192" t="s">
        <v>27</v>
      </c>
      <c r="P192">
        <v>2862</v>
      </c>
    </row>
    <row r="193" spans="1:16" x14ac:dyDescent="0.35">
      <c r="A193">
        <v>784</v>
      </c>
      <c r="B193">
        <v>2003</v>
      </c>
      <c r="C193" t="str">
        <f>IF(book_sales[[#This Row],[Publishing Year]]&lt;1900,"Classic (Before 1900)",IF(book_sales[[#This Row],[Publishing Year]]&lt;2000,"20th Century (1900-1999)","21st Century (2000+)"))</f>
        <v>21st Century (2000+)</v>
      </c>
      <c r="D193" t="s">
        <v>1375</v>
      </c>
      <c r="E193" t="s">
        <v>1376</v>
      </c>
      <c r="F193" t="s">
        <v>23</v>
      </c>
      <c r="G193" t="s">
        <v>532</v>
      </c>
      <c r="H193">
        <v>4.0599999999999996</v>
      </c>
      <c r="I193">
        <v>70454</v>
      </c>
      <c r="J193" t="s">
        <v>19</v>
      </c>
      <c r="K193">
        <v>343.85</v>
      </c>
      <c r="L193">
        <v>0</v>
      </c>
      <c r="M193">
        <v>2.99</v>
      </c>
      <c r="N193">
        <v>909</v>
      </c>
      <c r="O193" t="s">
        <v>27</v>
      </c>
      <c r="P193">
        <v>2943</v>
      </c>
    </row>
    <row r="194" spans="1:16" x14ac:dyDescent="0.35">
      <c r="A194">
        <v>357</v>
      </c>
      <c r="B194">
        <v>1955</v>
      </c>
      <c r="C194" t="str">
        <f>IF(book_sales[[#This Row],[Publishing Year]]&lt;1900,"Classic (Before 1900)",IF(book_sales[[#This Row],[Publishing Year]]&lt;2000,"20th Century (1900-1999)","21st Century (2000+)"))</f>
        <v>20th Century (1900-1999)</v>
      </c>
      <c r="D194" t="s">
        <v>674</v>
      </c>
      <c r="E194" t="s">
        <v>675</v>
      </c>
      <c r="F194" t="s">
        <v>23</v>
      </c>
      <c r="G194" t="s">
        <v>532</v>
      </c>
      <c r="H194">
        <v>4.24</v>
      </c>
      <c r="I194">
        <v>107221</v>
      </c>
      <c r="J194" t="s">
        <v>19</v>
      </c>
      <c r="K194">
        <v>925.68</v>
      </c>
      <c r="L194">
        <v>0</v>
      </c>
      <c r="M194">
        <v>3.99</v>
      </c>
      <c r="N194">
        <v>385</v>
      </c>
      <c r="O194" t="s">
        <v>27</v>
      </c>
      <c r="P194">
        <v>6264</v>
      </c>
    </row>
    <row r="195" spans="1:16" x14ac:dyDescent="0.35">
      <c r="A195">
        <v>545</v>
      </c>
      <c r="B195">
        <v>2016</v>
      </c>
      <c r="C195" t="str">
        <f>IF(book_sales[[#This Row],[Publishing Year]]&lt;1900,"Classic (Before 1900)",IF(book_sales[[#This Row],[Publishing Year]]&lt;2000,"20th Century (1900-1999)","21st Century (2000+)"))</f>
        <v>21st Century (2000+)</v>
      </c>
      <c r="D195" t="s">
        <v>987</v>
      </c>
      <c r="E195" t="s">
        <v>988</v>
      </c>
      <c r="F195" t="s">
        <v>23</v>
      </c>
      <c r="G195" t="s">
        <v>18</v>
      </c>
      <c r="H195">
        <v>3.45</v>
      </c>
      <c r="I195">
        <v>79762</v>
      </c>
      <c r="J195" t="s">
        <v>41</v>
      </c>
      <c r="K195">
        <v>1508.49</v>
      </c>
      <c r="L195">
        <v>905.09400000000005</v>
      </c>
      <c r="M195">
        <v>9.99</v>
      </c>
      <c r="N195">
        <v>608</v>
      </c>
      <c r="O195" t="s">
        <v>27</v>
      </c>
      <c r="P195">
        <v>4077</v>
      </c>
    </row>
    <row r="196" spans="1:16" x14ac:dyDescent="0.35">
      <c r="A196">
        <v>745</v>
      </c>
      <c r="B196">
        <v>2011</v>
      </c>
      <c r="C196" t="str">
        <f>IF(book_sales[[#This Row],[Publishing Year]]&lt;1900,"Classic (Before 1900)",IF(book_sales[[#This Row],[Publishing Year]]&lt;2000,"20th Century (1900-1999)","21st Century (2000+)"))</f>
        <v>21st Century (2000+)</v>
      </c>
      <c r="D196" t="s">
        <v>1310</v>
      </c>
      <c r="E196" t="s">
        <v>1311</v>
      </c>
      <c r="F196" t="s">
        <v>17</v>
      </c>
      <c r="G196" t="s">
        <v>532</v>
      </c>
      <c r="H196">
        <v>4.0599999999999996</v>
      </c>
      <c r="I196">
        <v>99942</v>
      </c>
      <c r="J196" t="s">
        <v>19</v>
      </c>
      <c r="K196">
        <v>232.83</v>
      </c>
      <c r="L196">
        <v>139.69800000000001</v>
      </c>
      <c r="M196">
        <v>1.99</v>
      </c>
      <c r="N196">
        <v>857</v>
      </c>
      <c r="O196" t="s">
        <v>31</v>
      </c>
      <c r="P196">
        <v>31968</v>
      </c>
    </row>
    <row r="197" spans="1:16" x14ac:dyDescent="0.35">
      <c r="A197">
        <v>853</v>
      </c>
      <c r="B197">
        <v>1998</v>
      </c>
      <c r="C197" t="str">
        <f>IF(book_sales[[#This Row],[Publishing Year]]&lt;1900,"Classic (Before 1900)",IF(book_sales[[#This Row],[Publishing Year]]&lt;2000,"20th Century (1900-1999)","21st Century (2000+)"))</f>
        <v>20th Century (1900-1999)</v>
      </c>
      <c r="D197" t="s">
        <v>1475</v>
      </c>
      <c r="E197" t="s">
        <v>1476</v>
      </c>
      <c r="F197" t="s">
        <v>23</v>
      </c>
      <c r="G197" t="s">
        <v>532</v>
      </c>
      <c r="H197">
        <v>4.1399999999999997</v>
      </c>
      <c r="I197">
        <v>61498</v>
      </c>
      <c r="J197" t="s">
        <v>41</v>
      </c>
      <c r="K197">
        <v>1327.75</v>
      </c>
      <c r="L197">
        <v>796.65</v>
      </c>
      <c r="M197">
        <v>11.75</v>
      </c>
      <c r="N197">
        <v>1000</v>
      </c>
      <c r="O197" t="s">
        <v>46</v>
      </c>
      <c r="P197">
        <v>2862</v>
      </c>
    </row>
    <row r="198" spans="1:16" x14ac:dyDescent="0.35">
      <c r="A198">
        <v>840</v>
      </c>
      <c r="B198">
        <v>2007</v>
      </c>
      <c r="C198" t="str">
        <f>IF(book_sales[[#This Row],[Publishing Year]]&lt;1900,"Classic (Before 1900)",IF(book_sales[[#This Row],[Publishing Year]]&lt;2000,"20th Century (1900-1999)","21st Century (2000+)"))</f>
        <v>21st Century (2000+)</v>
      </c>
      <c r="D198" t="s">
        <v>1454</v>
      </c>
      <c r="E198" t="s">
        <v>1455</v>
      </c>
      <c r="F198" t="s">
        <v>17</v>
      </c>
      <c r="G198" t="s">
        <v>532</v>
      </c>
      <c r="H198">
        <v>4.0999999999999996</v>
      </c>
      <c r="I198">
        <v>61496</v>
      </c>
      <c r="J198" t="s">
        <v>19</v>
      </c>
      <c r="K198">
        <v>563.87</v>
      </c>
      <c r="L198">
        <v>0</v>
      </c>
      <c r="M198">
        <v>4.99</v>
      </c>
      <c r="N198">
        <v>982</v>
      </c>
      <c r="O198" t="s">
        <v>27</v>
      </c>
      <c r="P198">
        <v>2889</v>
      </c>
    </row>
    <row r="199" spans="1:16" x14ac:dyDescent="0.35">
      <c r="A199">
        <v>198</v>
      </c>
      <c r="B199">
        <v>1989</v>
      </c>
      <c r="C199" t="str">
        <f>IF(book_sales[[#This Row],[Publishing Year]]&lt;1900,"Classic (Before 1900)",IF(book_sales[[#This Row],[Publishing Year]]&lt;2000,"20th Century (1900-1999)","21st Century (2000+)"))</f>
        <v>20th Century (1900-1999)</v>
      </c>
      <c r="D199" t="s">
        <v>388</v>
      </c>
      <c r="E199" t="s">
        <v>389</v>
      </c>
      <c r="F199" t="s">
        <v>23</v>
      </c>
      <c r="G199" t="s">
        <v>24</v>
      </c>
      <c r="H199">
        <v>4.21</v>
      </c>
      <c r="I199">
        <v>122225</v>
      </c>
      <c r="J199" t="s">
        <v>19</v>
      </c>
      <c r="K199">
        <v>470.25</v>
      </c>
      <c r="L199">
        <v>0</v>
      </c>
      <c r="M199">
        <v>0.99</v>
      </c>
      <c r="N199">
        <v>215</v>
      </c>
      <c r="O199" t="s">
        <v>27</v>
      </c>
      <c r="P199">
        <v>475</v>
      </c>
    </row>
    <row r="200" spans="1:16" x14ac:dyDescent="0.35">
      <c r="A200">
        <v>953</v>
      </c>
      <c r="B200">
        <v>1990</v>
      </c>
      <c r="C200" t="str">
        <f>IF(book_sales[[#This Row],[Publishing Year]]&lt;1900,"Classic (Before 1900)",IF(book_sales[[#This Row],[Publishing Year]]&lt;2000,"20th Century (1900-1999)","21st Century (2000+)"))</f>
        <v>20th Century (1900-1999)</v>
      </c>
      <c r="D200" t="s">
        <v>1627</v>
      </c>
      <c r="E200" t="s">
        <v>389</v>
      </c>
      <c r="F200" t="s">
        <v>23</v>
      </c>
      <c r="G200" t="s">
        <v>532</v>
      </c>
      <c r="H200">
        <v>4.18</v>
      </c>
      <c r="I200">
        <v>63235</v>
      </c>
      <c r="J200" t="s">
        <v>41</v>
      </c>
      <c r="K200">
        <v>641.29999999999995</v>
      </c>
      <c r="L200">
        <v>384.78</v>
      </c>
      <c r="M200">
        <v>5.83</v>
      </c>
      <c r="N200">
        <v>1124</v>
      </c>
      <c r="O200" t="s">
        <v>66</v>
      </c>
      <c r="P200">
        <v>4280</v>
      </c>
    </row>
    <row r="201" spans="1:16" x14ac:dyDescent="0.35">
      <c r="A201">
        <v>79</v>
      </c>
      <c r="B201">
        <v>2013</v>
      </c>
      <c r="C201" t="str">
        <f>IF(book_sales[[#This Row],[Publishing Year]]&lt;1900,"Classic (Before 1900)",IF(book_sales[[#This Row],[Publishing Year]]&lt;2000,"20th Century (1900-1999)","21st Century (2000+)"))</f>
        <v>21st Century (2000+)</v>
      </c>
      <c r="D201" t="s">
        <v>183</v>
      </c>
      <c r="E201" t="s">
        <v>184</v>
      </c>
      <c r="F201" t="s">
        <v>23</v>
      </c>
      <c r="G201" t="s">
        <v>24</v>
      </c>
      <c r="H201">
        <v>4.32</v>
      </c>
      <c r="I201">
        <v>113565</v>
      </c>
      <c r="J201" t="s">
        <v>19</v>
      </c>
      <c r="K201">
        <v>8482.43</v>
      </c>
      <c r="L201">
        <v>5089.4579999999996</v>
      </c>
      <c r="M201">
        <v>6.49</v>
      </c>
      <c r="N201">
        <v>80</v>
      </c>
      <c r="O201" t="s">
        <v>31</v>
      </c>
      <c r="P201">
        <v>1307</v>
      </c>
    </row>
    <row r="202" spans="1:16" x14ac:dyDescent="0.35">
      <c r="A202">
        <v>88</v>
      </c>
      <c r="B202">
        <v>2011</v>
      </c>
      <c r="C202" t="str">
        <f>IF(book_sales[[#This Row],[Publishing Year]]&lt;1900,"Classic (Before 1900)",IF(book_sales[[#This Row],[Publishing Year]]&lt;2000,"20th Century (1900-1999)","21st Century (2000+)"))</f>
        <v>21st Century (2000+)</v>
      </c>
      <c r="D202" t="s">
        <v>199</v>
      </c>
      <c r="E202" t="s">
        <v>200</v>
      </c>
      <c r="F202" t="s">
        <v>23</v>
      </c>
      <c r="G202" t="s">
        <v>24</v>
      </c>
      <c r="H202">
        <v>4.08</v>
      </c>
      <c r="I202">
        <v>136950</v>
      </c>
      <c r="J202" t="s">
        <v>19</v>
      </c>
      <c r="K202">
        <v>1157.31</v>
      </c>
      <c r="L202">
        <v>694.38599999999997</v>
      </c>
      <c r="M202">
        <v>0.99</v>
      </c>
      <c r="N202">
        <v>89</v>
      </c>
      <c r="O202" t="s">
        <v>27</v>
      </c>
      <c r="P202">
        <v>1169</v>
      </c>
    </row>
    <row r="203" spans="1:16" x14ac:dyDescent="0.35">
      <c r="A203">
        <v>752</v>
      </c>
      <c r="B203">
        <v>1992</v>
      </c>
      <c r="C203" t="str">
        <f>IF(book_sales[[#This Row],[Publishing Year]]&lt;1900,"Classic (Before 1900)",IF(book_sales[[#This Row],[Publishing Year]]&lt;2000,"20th Century (1900-1999)","21st Century (2000+)"))</f>
        <v>20th Century (1900-1999)</v>
      </c>
      <c r="D203" t="s">
        <v>1323</v>
      </c>
      <c r="E203" t="s">
        <v>1324</v>
      </c>
      <c r="F203" t="s">
        <v>17</v>
      </c>
      <c r="G203" t="s">
        <v>24</v>
      </c>
      <c r="H203">
        <v>3.97</v>
      </c>
      <c r="I203">
        <v>63304</v>
      </c>
      <c r="J203" t="s">
        <v>19</v>
      </c>
      <c r="K203">
        <v>892.04</v>
      </c>
      <c r="L203">
        <v>535.22400000000005</v>
      </c>
      <c r="M203">
        <v>7.69</v>
      </c>
      <c r="N203">
        <v>867</v>
      </c>
      <c r="O203" t="s">
        <v>46</v>
      </c>
      <c r="P203">
        <v>31536</v>
      </c>
    </row>
    <row r="204" spans="1:16" x14ac:dyDescent="0.35">
      <c r="A204">
        <v>636</v>
      </c>
      <c r="B204">
        <v>1308</v>
      </c>
      <c r="C204" t="str">
        <f>IF(book_sales[[#This Row],[Publishing Year]]&lt;1900,"Classic (Before 1900)",IF(book_sales[[#This Row],[Publishing Year]]&lt;2000,"20th Century (1900-1999)","21st Century (2000+)"))</f>
        <v>Classic (Before 1900)</v>
      </c>
      <c r="D204" t="s">
        <v>1136</v>
      </c>
      <c r="E204" t="s">
        <v>1137</v>
      </c>
      <c r="F204" t="s">
        <v>23</v>
      </c>
      <c r="G204" t="s">
        <v>532</v>
      </c>
      <c r="H204">
        <v>4.0599999999999996</v>
      </c>
      <c r="I204">
        <v>74130</v>
      </c>
      <c r="J204" t="s">
        <v>19</v>
      </c>
      <c r="K204">
        <v>124.74</v>
      </c>
      <c r="L204">
        <v>0</v>
      </c>
      <c r="M204">
        <v>0.99</v>
      </c>
      <c r="N204">
        <v>720</v>
      </c>
      <c r="O204" t="s">
        <v>27</v>
      </c>
      <c r="P204">
        <v>46008</v>
      </c>
    </row>
    <row r="205" spans="1:16" x14ac:dyDescent="0.35">
      <c r="A205">
        <v>446</v>
      </c>
      <c r="B205">
        <v>1320</v>
      </c>
      <c r="C205" t="str">
        <f>IF(book_sales[[#This Row],[Publishing Year]]&lt;1900,"Classic (Before 1900)",IF(book_sales[[#This Row],[Publishing Year]]&lt;2000,"20th Century (1900-1999)","21st Century (2000+)"))</f>
        <v>Classic (Before 1900)</v>
      </c>
      <c r="D205" t="s">
        <v>825</v>
      </c>
      <c r="E205" t="s">
        <v>826</v>
      </c>
      <c r="G205" t="s">
        <v>24</v>
      </c>
      <c r="H205">
        <v>3.99</v>
      </c>
      <c r="I205">
        <v>87511</v>
      </c>
      <c r="J205" t="s">
        <v>30</v>
      </c>
      <c r="K205">
        <v>354.22</v>
      </c>
      <c r="L205">
        <v>212.53200000000001</v>
      </c>
      <c r="M205">
        <v>1.99</v>
      </c>
      <c r="N205">
        <v>493</v>
      </c>
      <c r="O205" t="s">
        <v>31</v>
      </c>
      <c r="P205">
        <v>4806</v>
      </c>
    </row>
    <row r="206" spans="1:16" x14ac:dyDescent="0.35">
      <c r="A206">
        <v>1067</v>
      </c>
      <c r="B206">
        <v>1930</v>
      </c>
      <c r="C206" t="str">
        <f>IF(book_sales[[#This Row],[Publishing Year]]&lt;1900,"Classic (Before 1900)",IF(book_sales[[#This Row],[Publishing Year]]&lt;2000,"20th Century (1900-1999)","21st Century (2000+)"))</f>
        <v>20th Century (1900-1999)</v>
      </c>
      <c r="D206" t="s">
        <v>1802</v>
      </c>
      <c r="E206" t="s">
        <v>1803</v>
      </c>
      <c r="F206" t="s">
        <v>23</v>
      </c>
      <c r="G206" t="s">
        <v>24</v>
      </c>
      <c r="H206">
        <v>3.92</v>
      </c>
      <c r="I206">
        <v>58742</v>
      </c>
      <c r="J206" t="s">
        <v>19</v>
      </c>
      <c r="K206">
        <v>846.94</v>
      </c>
      <c r="L206">
        <v>508.16399999999999</v>
      </c>
      <c r="M206">
        <v>7.99</v>
      </c>
      <c r="N206">
        <v>1271</v>
      </c>
      <c r="O206" t="s">
        <v>31</v>
      </c>
      <c r="P206">
        <v>106</v>
      </c>
    </row>
    <row r="207" spans="1:16" x14ac:dyDescent="0.35">
      <c r="A207">
        <v>276</v>
      </c>
      <c r="B207">
        <v>2013</v>
      </c>
      <c r="C207" t="str">
        <f>IF(book_sales[[#This Row],[Publishing Year]]&lt;1900,"Classic (Before 1900)",IF(book_sales[[#This Row],[Publishing Year]]&lt;2000,"20th Century (1900-1999)","21st Century (2000+)"))</f>
        <v>21st Century (2000+)</v>
      </c>
      <c r="D207" t="s">
        <v>524</v>
      </c>
      <c r="E207" t="s">
        <v>525</v>
      </c>
      <c r="F207" t="s">
        <v>23</v>
      </c>
      <c r="G207" t="s">
        <v>18</v>
      </c>
      <c r="H207">
        <v>3.46</v>
      </c>
      <c r="I207">
        <v>109412</v>
      </c>
      <c r="J207" t="s">
        <v>19</v>
      </c>
      <c r="K207">
        <v>3872.6</v>
      </c>
      <c r="L207">
        <v>2323.56</v>
      </c>
      <c r="M207">
        <v>11.39</v>
      </c>
      <c r="N207">
        <v>296</v>
      </c>
      <c r="O207" t="s">
        <v>34</v>
      </c>
      <c r="P207">
        <v>340</v>
      </c>
    </row>
    <row r="208" spans="1:16" x14ac:dyDescent="0.35">
      <c r="A208">
        <v>707</v>
      </c>
      <c r="B208">
        <v>2006</v>
      </c>
      <c r="C208" t="str">
        <f>IF(book_sales[[#This Row],[Publishing Year]]&lt;1900,"Classic (Before 1900)",IF(book_sales[[#This Row],[Publishing Year]]&lt;2000,"20th Century (1900-1999)","21st Century (2000+)"))</f>
        <v>21st Century (2000+)</v>
      </c>
      <c r="D208" t="s">
        <v>1251</v>
      </c>
      <c r="E208" t="s">
        <v>525</v>
      </c>
      <c r="F208" t="s">
        <v>23</v>
      </c>
      <c r="G208" t="s">
        <v>532</v>
      </c>
      <c r="H208">
        <v>4.16</v>
      </c>
      <c r="I208">
        <v>59333</v>
      </c>
      <c r="J208" t="s">
        <v>19</v>
      </c>
      <c r="K208">
        <v>1680.32</v>
      </c>
      <c r="L208">
        <v>1008.192</v>
      </c>
      <c r="M208">
        <v>14.24</v>
      </c>
      <c r="N208">
        <v>811</v>
      </c>
      <c r="O208" t="s">
        <v>34</v>
      </c>
      <c r="P208">
        <v>35424</v>
      </c>
    </row>
    <row r="209" spans="1:16" x14ac:dyDescent="0.35">
      <c r="A209">
        <v>1026</v>
      </c>
      <c r="B209">
        <v>2008</v>
      </c>
      <c r="C209" t="str">
        <f>IF(book_sales[[#This Row],[Publishing Year]]&lt;1900,"Classic (Before 1900)",IF(book_sales[[#This Row],[Publishing Year]]&lt;2000,"20th Century (1900-1999)","21st Century (2000+)"))</f>
        <v>21st Century (2000+)</v>
      </c>
      <c r="D209" t="s">
        <v>1736</v>
      </c>
      <c r="E209" t="s">
        <v>525</v>
      </c>
      <c r="G209" t="s">
        <v>532</v>
      </c>
      <c r="H209">
        <v>4.08</v>
      </c>
      <c r="I209">
        <v>55398</v>
      </c>
      <c r="J209" t="s">
        <v>19</v>
      </c>
      <c r="K209">
        <v>408.74</v>
      </c>
      <c r="L209">
        <v>0</v>
      </c>
      <c r="M209">
        <v>3.82</v>
      </c>
      <c r="N209">
        <v>1214</v>
      </c>
      <c r="O209" t="s">
        <v>27</v>
      </c>
      <c r="P209">
        <v>107</v>
      </c>
    </row>
    <row r="210" spans="1:16" x14ac:dyDescent="0.35">
      <c r="A210">
        <v>547</v>
      </c>
      <c r="B210">
        <v>2001</v>
      </c>
      <c r="C210" t="str">
        <f>IF(book_sales[[#This Row],[Publishing Year]]&lt;1900,"Classic (Before 1900)",IF(book_sales[[#This Row],[Publishing Year]]&lt;2000,"20th Century (1900-1999)","21st Century (2000+)"))</f>
        <v>21st Century (2000+)</v>
      </c>
      <c r="D210" t="s">
        <v>991</v>
      </c>
      <c r="E210" t="s">
        <v>992</v>
      </c>
      <c r="F210" t="s">
        <v>92</v>
      </c>
      <c r="G210" t="s">
        <v>24</v>
      </c>
      <c r="H210">
        <v>3.98</v>
      </c>
      <c r="I210">
        <v>75665</v>
      </c>
      <c r="J210" t="s">
        <v>19</v>
      </c>
      <c r="K210">
        <v>598.5</v>
      </c>
      <c r="L210">
        <v>0</v>
      </c>
      <c r="M210">
        <v>3.99</v>
      </c>
      <c r="N210">
        <v>611</v>
      </c>
      <c r="O210" t="s">
        <v>27</v>
      </c>
      <c r="P210">
        <v>4050</v>
      </c>
    </row>
    <row r="211" spans="1:16" x14ac:dyDescent="0.35">
      <c r="A211">
        <v>619</v>
      </c>
      <c r="B211">
        <v>1995</v>
      </c>
      <c r="C211" t="str">
        <f>IF(book_sales[[#This Row],[Publishing Year]]&lt;1900,"Classic (Before 1900)",IF(book_sales[[#This Row],[Publishing Year]]&lt;2000,"20th Century (1900-1999)","21st Century (2000+)"))</f>
        <v>20th Century (1900-1999)</v>
      </c>
      <c r="D211" t="s">
        <v>1109</v>
      </c>
      <c r="E211" t="s">
        <v>1110</v>
      </c>
      <c r="F211" t="s">
        <v>23</v>
      </c>
      <c r="G211" t="s">
        <v>532</v>
      </c>
      <c r="H211">
        <v>4.1500000000000004</v>
      </c>
      <c r="I211">
        <v>72481</v>
      </c>
      <c r="J211" t="s">
        <v>19</v>
      </c>
      <c r="K211">
        <v>1656.2</v>
      </c>
      <c r="L211">
        <v>993.72</v>
      </c>
      <c r="M211">
        <v>12.74</v>
      </c>
      <c r="N211">
        <v>704</v>
      </c>
      <c r="O211" t="s">
        <v>133</v>
      </c>
      <c r="P211">
        <v>48816</v>
      </c>
    </row>
    <row r="212" spans="1:16" x14ac:dyDescent="0.35">
      <c r="A212">
        <v>1003</v>
      </c>
      <c r="B212">
        <v>2005</v>
      </c>
      <c r="C212" t="str">
        <f>IF(book_sales[[#This Row],[Publishing Year]]&lt;1900,"Classic (Before 1900)",IF(book_sales[[#This Row],[Publishing Year]]&lt;2000,"20th Century (1900-1999)","21st Century (2000+)"))</f>
        <v>21st Century (2000+)</v>
      </c>
      <c r="D212" t="s">
        <v>1704</v>
      </c>
      <c r="E212" t="s">
        <v>1110</v>
      </c>
      <c r="F212" t="s">
        <v>23</v>
      </c>
      <c r="G212" t="s">
        <v>532</v>
      </c>
      <c r="H212">
        <v>4.0199999999999996</v>
      </c>
      <c r="I212">
        <v>58973</v>
      </c>
      <c r="J212" t="s">
        <v>41</v>
      </c>
      <c r="K212">
        <v>139.32</v>
      </c>
      <c r="L212">
        <v>83.591999999999999</v>
      </c>
      <c r="M212">
        <v>1.29</v>
      </c>
      <c r="N212">
        <v>1187</v>
      </c>
      <c r="O212" t="s">
        <v>27</v>
      </c>
      <c r="P212">
        <v>108</v>
      </c>
    </row>
    <row r="213" spans="1:16" x14ac:dyDescent="0.35">
      <c r="A213">
        <v>725</v>
      </c>
      <c r="B213">
        <v>2008</v>
      </c>
      <c r="C213" t="str">
        <f>IF(book_sales[[#This Row],[Publishing Year]]&lt;1900,"Classic (Before 1900)",IF(book_sales[[#This Row],[Publishing Year]]&lt;2000,"20th Century (1900-1999)","21st Century (2000+)"))</f>
        <v>21st Century (2000+)</v>
      </c>
      <c r="D213" t="s">
        <v>1280</v>
      </c>
      <c r="E213" t="s">
        <v>1281</v>
      </c>
      <c r="F213" t="s">
        <v>92</v>
      </c>
      <c r="G213" t="s">
        <v>532</v>
      </c>
      <c r="H213">
        <v>4.28</v>
      </c>
      <c r="I213">
        <v>68063</v>
      </c>
      <c r="J213" t="s">
        <v>19</v>
      </c>
      <c r="K213">
        <v>232.83</v>
      </c>
      <c r="L213">
        <v>139.69800000000001</v>
      </c>
      <c r="M213">
        <v>1.99</v>
      </c>
      <c r="N213">
        <v>832</v>
      </c>
      <c r="O213" t="s">
        <v>20</v>
      </c>
      <c r="P213">
        <v>34128</v>
      </c>
    </row>
    <row r="214" spans="1:16" x14ac:dyDescent="0.35">
      <c r="A214">
        <v>887</v>
      </c>
      <c r="B214">
        <v>1983</v>
      </c>
      <c r="C214" t="str">
        <f>IF(book_sales[[#This Row],[Publishing Year]]&lt;1900,"Classic (Before 1900)",IF(book_sales[[#This Row],[Publishing Year]]&lt;2000,"20th Century (1900-1999)","21st Century (2000+)"))</f>
        <v>20th Century (1900-1999)</v>
      </c>
      <c r="D214" t="s">
        <v>1524</v>
      </c>
      <c r="E214" t="s">
        <v>1525</v>
      </c>
      <c r="G214" t="s">
        <v>532</v>
      </c>
      <c r="H214">
        <v>4.13</v>
      </c>
      <c r="I214">
        <v>69616</v>
      </c>
      <c r="J214" t="s">
        <v>19</v>
      </c>
      <c r="K214">
        <v>334.88</v>
      </c>
      <c r="L214">
        <v>0</v>
      </c>
      <c r="M214">
        <v>2.99</v>
      </c>
      <c r="N214">
        <v>1042</v>
      </c>
      <c r="O214" t="s">
        <v>27</v>
      </c>
      <c r="P214">
        <v>4440</v>
      </c>
    </row>
    <row r="215" spans="1:16" x14ac:dyDescent="0.35">
      <c r="A215">
        <v>932</v>
      </c>
      <c r="B215">
        <v>1984</v>
      </c>
      <c r="C215" t="str">
        <f>IF(book_sales[[#This Row],[Publishing Year]]&lt;1900,"Classic (Before 1900)",IF(book_sales[[#This Row],[Publishing Year]]&lt;2000,"20th Century (1900-1999)","21st Century (2000+)"))</f>
        <v>20th Century (1900-1999)</v>
      </c>
      <c r="D215" t="s">
        <v>1591</v>
      </c>
      <c r="E215" t="s">
        <v>1525</v>
      </c>
      <c r="F215" t="s">
        <v>17</v>
      </c>
      <c r="G215" t="s">
        <v>532</v>
      </c>
      <c r="H215">
        <v>4.17</v>
      </c>
      <c r="I215">
        <v>69134</v>
      </c>
      <c r="J215" t="s">
        <v>19</v>
      </c>
      <c r="K215">
        <v>438.9</v>
      </c>
      <c r="L215">
        <v>0</v>
      </c>
      <c r="M215">
        <v>3.99</v>
      </c>
      <c r="N215">
        <v>1098</v>
      </c>
      <c r="O215" t="s">
        <v>27</v>
      </c>
      <c r="P215">
        <v>4320</v>
      </c>
    </row>
    <row r="216" spans="1:16" x14ac:dyDescent="0.35">
      <c r="A216">
        <v>202</v>
      </c>
      <c r="B216">
        <v>1994</v>
      </c>
      <c r="C216" t="str">
        <f>IF(book_sales[[#This Row],[Publishing Year]]&lt;1900,"Classic (Before 1900)",IF(book_sales[[#This Row],[Publishing Year]]&lt;2000,"20th Century (1900-1999)","21st Century (2000+)"))</f>
        <v>20th Century (1900-1999)</v>
      </c>
      <c r="D216" t="s">
        <v>396</v>
      </c>
      <c r="E216" t="s">
        <v>397</v>
      </c>
      <c r="F216" t="s">
        <v>23</v>
      </c>
      <c r="G216" t="s">
        <v>24</v>
      </c>
      <c r="H216">
        <v>3.8</v>
      </c>
      <c r="I216">
        <v>131945</v>
      </c>
      <c r="J216" t="s">
        <v>19</v>
      </c>
      <c r="K216">
        <v>1393.34</v>
      </c>
      <c r="L216">
        <v>0</v>
      </c>
      <c r="M216">
        <v>2.99</v>
      </c>
      <c r="N216">
        <v>220</v>
      </c>
      <c r="O216" t="s">
        <v>27</v>
      </c>
      <c r="P216">
        <v>466</v>
      </c>
    </row>
    <row r="217" spans="1:16" x14ac:dyDescent="0.35">
      <c r="A217">
        <v>642</v>
      </c>
      <c r="B217">
        <v>2015</v>
      </c>
      <c r="C217" t="str">
        <f>IF(book_sales[[#This Row],[Publishing Year]]&lt;1900,"Classic (Before 1900)",IF(book_sales[[#This Row],[Publishing Year]]&lt;2000,"20th Century (1900-1999)","21st Century (2000+)"))</f>
        <v>21st Century (2000+)</v>
      </c>
      <c r="D217" t="s">
        <v>1145</v>
      </c>
      <c r="E217" t="s">
        <v>1146</v>
      </c>
      <c r="F217" t="s">
        <v>23</v>
      </c>
      <c r="G217" t="s">
        <v>24</v>
      </c>
      <c r="H217">
        <v>3.73</v>
      </c>
      <c r="I217">
        <v>53751</v>
      </c>
      <c r="J217" t="s">
        <v>19</v>
      </c>
      <c r="K217">
        <v>121.77</v>
      </c>
      <c r="L217">
        <v>73.061999999999998</v>
      </c>
      <c r="M217">
        <v>0.99</v>
      </c>
      <c r="N217">
        <v>736</v>
      </c>
      <c r="O217" t="s">
        <v>46</v>
      </c>
      <c r="P217">
        <v>45144</v>
      </c>
    </row>
    <row r="218" spans="1:16" x14ac:dyDescent="0.35">
      <c r="A218">
        <v>306</v>
      </c>
      <c r="B218">
        <v>2012</v>
      </c>
      <c r="C218" t="str">
        <f>IF(book_sales[[#This Row],[Publishing Year]]&lt;1900,"Classic (Before 1900)",IF(book_sales[[#This Row],[Publishing Year]]&lt;2000,"20th Century (1900-1999)","21st Century (2000+)"))</f>
        <v>21st Century (2000+)</v>
      </c>
      <c r="D218" t="s">
        <v>581</v>
      </c>
      <c r="E218" t="s">
        <v>582</v>
      </c>
      <c r="F218" t="s">
        <v>23</v>
      </c>
      <c r="G218" t="s">
        <v>24</v>
      </c>
      <c r="H218">
        <v>3.99</v>
      </c>
      <c r="I218">
        <v>121863</v>
      </c>
      <c r="J218" t="s">
        <v>19</v>
      </c>
      <c r="K218">
        <v>1149.1199999999999</v>
      </c>
      <c r="L218">
        <v>689.47199999999998</v>
      </c>
      <c r="M218">
        <v>3.99</v>
      </c>
      <c r="N218">
        <v>327</v>
      </c>
      <c r="O218" t="s">
        <v>27</v>
      </c>
      <c r="P218">
        <v>288</v>
      </c>
    </row>
    <row r="219" spans="1:16" x14ac:dyDescent="0.35">
      <c r="A219">
        <v>156</v>
      </c>
      <c r="B219">
        <v>2005</v>
      </c>
      <c r="C219" t="str">
        <f>IF(book_sales[[#This Row],[Publishing Year]]&lt;1900,"Classic (Before 1900)",IF(book_sales[[#This Row],[Publishing Year]]&lt;2000,"20th Century (1900-1999)","21st Century (2000+)"))</f>
        <v>21st Century (2000+)</v>
      </c>
      <c r="D219">
        <v>1776</v>
      </c>
      <c r="E219" t="s">
        <v>317</v>
      </c>
      <c r="F219" t="s">
        <v>23</v>
      </c>
      <c r="G219" t="s">
        <v>24</v>
      </c>
      <c r="H219">
        <v>4.0599999999999996</v>
      </c>
      <c r="I219">
        <v>130293</v>
      </c>
      <c r="J219" t="s">
        <v>19</v>
      </c>
      <c r="K219">
        <v>7814.4</v>
      </c>
      <c r="L219">
        <v>4688.6400000000003</v>
      </c>
      <c r="M219">
        <v>11.84</v>
      </c>
      <c r="N219">
        <v>168</v>
      </c>
      <c r="O219" t="s">
        <v>46</v>
      </c>
      <c r="P219">
        <v>660</v>
      </c>
    </row>
    <row r="220" spans="1:16" x14ac:dyDescent="0.35">
      <c r="A220">
        <v>854</v>
      </c>
      <c r="B220">
        <v>2014</v>
      </c>
      <c r="C220" t="str">
        <f>IF(book_sales[[#This Row],[Publishing Year]]&lt;1900,"Classic (Before 1900)",IF(book_sales[[#This Row],[Publishing Year]]&lt;2000,"20th Century (1900-1999)","21st Century (2000+)"))</f>
        <v>21st Century (2000+)</v>
      </c>
      <c r="D220" t="s">
        <v>1477</v>
      </c>
      <c r="E220" t="s">
        <v>1478</v>
      </c>
      <c r="F220" t="s">
        <v>23</v>
      </c>
      <c r="G220" t="s">
        <v>24</v>
      </c>
      <c r="H220">
        <v>3.81</v>
      </c>
      <c r="I220">
        <v>53151</v>
      </c>
      <c r="J220" t="s">
        <v>19</v>
      </c>
      <c r="K220">
        <v>781.96</v>
      </c>
      <c r="L220">
        <v>469.17599999999999</v>
      </c>
      <c r="M220">
        <v>6.92</v>
      </c>
      <c r="N220">
        <v>1001</v>
      </c>
      <c r="O220" t="s">
        <v>46</v>
      </c>
      <c r="P220">
        <v>2862</v>
      </c>
    </row>
    <row r="221" spans="1:16" x14ac:dyDescent="0.35">
      <c r="A221">
        <v>3</v>
      </c>
      <c r="B221">
        <v>2008</v>
      </c>
      <c r="C221" t="str">
        <f>IF(book_sales[[#This Row],[Publishing Year]]&lt;1900,"Classic (Before 1900)",IF(book_sales[[#This Row],[Publishing Year]]&lt;2000,"20th Century (1900-1999)","21st Century (2000+)"))</f>
        <v>21st Century (2000+)</v>
      </c>
      <c r="D221" t="s">
        <v>28</v>
      </c>
      <c r="E221" t="s">
        <v>29</v>
      </c>
      <c r="F221" t="s">
        <v>17</v>
      </c>
      <c r="G221" t="s">
        <v>24</v>
      </c>
      <c r="H221">
        <v>4.04</v>
      </c>
      <c r="I221">
        <v>150898</v>
      </c>
      <c r="J221" t="s">
        <v>30</v>
      </c>
      <c r="K221">
        <v>41250</v>
      </c>
      <c r="L221">
        <v>24750</v>
      </c>
      <c r="M221">
        <v>7.5</v>
      </c>
      <c r="N221">
        <v>3</v>
      </c>
      <c r="O221" t="s">
        <v>31</v>
      </c>
      <c r="P221">
        <v>5500</v>
      </c>
    </row>
    <row r="222" spans="1:16" x14ac:dyDescent="0.35">
      <c r="A222">
        <v>412</v>
      </c>
      <c r="B222">
        <v>1997</v>
      </c>
      <c r="C222" t="str">
        <f>IF(book_sales[[#This Row],[Publishing Year]]&lt;1900,"Classic (Before 1900)",IF(book_sales[[#This Row],[Publishing Year]]&lt;2000,"20th Century (1900-1999)","21st Century (2000+)"))</f>
        <v>20th Century (1900-1999)</v>
      </c>
      <c r="D222" t="s">
        <v>774</v>
      </c>
      <c r="E222" t="s">
        <v>29</v>
      </c>
      <c r="F222" t="s">
        <v>23</v>
      </c>
      <c r="G222" t="s">
        <v>24</v>
      </c>
      <c r="H222">
        <v>3.95</v>
      </c>
      <c r="I222">
        <v>82591</v>
      </c>
      <c r="J222" t="s">
        <v>19</v>
      </c>
      <c r="K222">
        <v>595.01</v>
      </c>
      <c r="L222">
        <v>0</v>
      </c>
      <c r="M222">
        <v>2.99</v>
      </c>
      <c r="N222">
        <v>452</v>
      </c>
      <c r="O222" t="s">
        <v>27</v>
      </c>
      <c r="P222">
        <v>5373</v>
      </c>
    </row>
    <row r="223" spans="1:16" x14ac:dyDescent="0.35">
      <c r="A223">
        <v>509</v>
      </c>
      <c r="B223">
        <v>2013</v>
      </c>
      <c r="C223" t="str">
        <f>IF(book_sales[[#This Row],[Publishing Year]]&lt;1900,"Classic (Before 1900)",IF(book_sales[[#This Row],[Publishing Year]]&lt;2000,"20th Century (1900-1999)","21st Century (2000+)"))</f>
        <v>21st Century (2000+)</v>
      </c>
      <c r="D223" t="s">
        <v>928</v>
      </c>
      <c r="E223" t="s">
        <v>29</v>
      </c>
      <c r="F223" t="s">
        <v>23</v>
      </c>
      <c r="G223" t="s">
        <v>24</v>
      </c>
      <c r="H223">
        <v>3.8</v>
      </c>
      <c r="I223">
        <v>81616</v>
      </c>
      <c r="J223" t="s">
        <v>19</v>
      </c>
      <c r="K223">
        <v>478.4</v>
      </c>
      <c r="L223">
        <v>287.04000000000002</v>
      </c>
      <c r="M223">
        <v>2.99</v>
      </c>
      <c r="N223">
        <v>565</v>
      </c>
      <c r="O223" t="s">
        <v>133</v>
      </c>
      <c r="P223">
        <v>4320</v>
      </c>
    </row>
    <row r="224" spans="1:16" x14ac:dyDescent="0.35">
      <c r="A224">
        <v>785</v>
      </c>
      <c r="B224">
        <v>2008</v>
      </c>
      <c r="C224" t="str">
        <f>IF(book_sales[[#This Row],[Publishing Year]]&lt;1900,"Classic (Before 1900)",IF(book_sales[[#This Row],[Publishing Year]]&lt;2000,"20th Century (1900-1999)","21st Century (2000+)"))</f>
        <v>21st Century (2000+)</v>
      </c>
      <c r="D224" t="s">
        <v>1377</v>
      </c>
      <c r="E224" t="s">
        <v>1378</v>
      </c>
      <c r="F224" t="s">
        <v>23</v>
      </c>
      <c r="G224" t="s">
        <v>24</v>
      </c>
      <c r="H224">
        <v>3.6</v>
      </c>
      <c r="I224">
        <v>70382</v>
      </c>
      <c r="J224" t="s">
        <v>41</v>
      </c>
      <c r="K224">
        <v>343.85</v>
      </c>
      <c r="L224">
        <v>0</v>
      </c>
      <c r="M224">
        <v>2.99</v>
      </c>
      <c r="N224">
        <v>910</v>
      </c>
      <c r="O224" t="s">
        <v>27</v>
      </c>
      <c r="P224">
        <v>2943</v>
      </c>
    </row>
    <row r="225" spans="1:16" x14ac:dyDescent="0.35">
      <c r="A225">
        <v>268</v>
      </c>
      <c r="B225">
        <v>1987</v>
      </c>
      <c r="C225" t="str">
        <f>IF(book_sales[[#This Row],[Publishing Year]]&lt;1900,"Classic (Before 1900)",IF(book_sales[[#This Row],[Publishing Year]]&lt;2000,"20th Century (1900-1999)","21st Century (2000+)"))</f>
        <v>20th Century (1900-1999)</v>
      </c>
      <c r="D225" t="s">
        <v>510</v>
      </c>
      <c r="E225" t="s">
        <v>511</v>
      </c>
      <c r="G225" t="s">
        <v>24</v>
      </c>
      <c r="H225">
        <v>4.16</v>
      </c>
      <c r="I225">
        <v>109595</v>
      </c>
      <c r="J225" t="s">
        <v>19</v>
      </c>
      <c r="K225">
        <v>1049.49</v>
      </c>
      <c r="L225">
        <v>0</v>
      </c>
      <c r="M225">
        <v>2.99</v>
      </c>
      <c r="N225">
        <v>289</v>
      </c>
      <c r="O225" t="s">
        <v>27</v>
      </c>
      <c r="P225">
        <v>351</v>
      </c>
    </row>
    <row r="226" spans="1:16" x14ac:dyDescent="0.35">
      <c r="A226">
        <v>1047</v>
      </c>
      <c r="B226">
        <v>1987</v>
      </c>
      <c r="C226" t="str">
        <f>IF(book_sales[[#This Row],[Publishing Year]]&lt;1900,"Classic (Before 1900)",IF(book_sales[[#This Row],[Publishing Year]]&lt;2000,"20th Century (1900-1999)","21st Century (2000+)"))</f>
        <v>20th Century (1900-1999)</v>
      </c>
      <c r="D226" t="s">
        <v>1770</v>
      </c>
      <c r="E226" t="s">
        <v>511</v>
      </c>
      <c r="F226" t="s">
        <v>23</v>
      </c>
      <c r="G226" t="s">
        <v>532</v>
      </c>
      <c r="H226">
        <v>4.04</v>
      </c>
      <c r="I226">
        <v>58062</v>
      </c>
      <c r="J226" t="s">
        <v>19</v>
      </c>
      <c r="K226">
        <v>104.94</v>
      </c>
      <c r="L226">
        <v>0</v>
      </c>
      <c r="M226">
        <v>0.99</v>
      </c>
      <c r="N226">
        <v>1238</v>
      </c>
      <c r="O226" t="s">
        <v>27</v>
      </c>
      <c r="P226">
        <v>106</v>
      </c>
    </row>
    <row r="227" spans="1:16" x14ac:dyDescent="0.35">
      <c r="A227">
        <v>447</v>
      </c>
      <c r="B227">
        <v>2012</v>
      </c>
      <c r="C227" t="str">
        <f>IF(book_sales[[#This Row],[Publishing Year]]&lt;1900,"Classic (Before 1900)",IF(book_sales[[#This Row],[Publishing Year]]&lt;2000,"20th Century (1900-1999)","21st Century (2000+)"))</f>
        <v>21st Century (2000+)</v>
      </c>
      <c r="D227" t="s">
        <v>827</v>
      </c>
      <c r="E227" t="s">
        <v>828</v>
      </c>
      <c r="F227" t="s">
        <v>23</v>
      </c>
      <c r="G227" t="s">
        <v>532</v>
      </c>
      <c r="H227">
        <v>4.04</v>
      </c>
      <c r="I227">
        <v>97925</v>
      </c>
      <c r="J227" t="s">
        <v>19</v>
      </c>
      <c r="K227">
        <v>1242.44</v>
      </c>
      <c r="L227">
        <v>745.46400000000006</v>
      </c>
      <c r="M227">
        <v>6.98</v>
      </c>
      <c r="N227">
        <v>494</v>
      </c>
      <c r="O227" t="s">
        <v>27</v>
      </c>
      <c r="P227">
        <v>4806</v>
      </c>
    </row>
    <row r="228" spans="1:16" x14ac:dyDescent="0.35">
      <c r="A228">
        <v>869</v>
      </c>
      <c r="B228">
        <v>2014</v>
      </c>
      <c r="C228" t="str">
        <f>IF(book_sales[[#This Row],[Publishing Year]]&lt;1900,"Classic (Before 1900)",IF(book_sales[[#This Row],[Publishing Year]]&lt;2000,"20th Century (1900-1999)","21st Century (2000+)"))</f>
        <v>21st Century (2000+)</v>
      </c>
      <c r="D228" t="s">
        <v>1498</v>
      </c>
      <c r="E228" t="s">
        <v>828</v>
      </c>
      <c r="F228" t="s">
        <v>23</v>
      </c>
      <c r="G228" t="s">
        <v>532</v>
      </c>
      <c r="H228">
        <v>4.1500000000000004</v>
      </c>
      <c r="I228">
        <v>63027</v>
      </c>
      <c r="J228" t="s">
        <v>19</v>
      </c>
      <c r="K228">
        <v>334.88</v>
      </c>
      <c r="L228">
        <v>0</v>
      </c>
      <c r="M228">
        <v>2.99</v>
      </c>
      <c r="N228">
        <v>1019</v>
      </c>
      <c r="O228" t="s">
        <v>27</v>
      </c>
      <c r="P228">
        <v>2862</v>
      </c>
    </row>
    <row r="229" spans="1:16" x14ac:dyDescent="0.35">
      <c r="A229">
        <v>237</v>
      </c>
      <c r="B229">
        <v>2003</v>
      </c>
      <c r="C229" t="str">
        <f>IF(book_sales[[#This Row],[Publishing Year]]&lt;1900,"Classic (Before 1900)",IF(book_sales[[#This Row],[Publishing Year]]&lt;2000,"20th Century (1900-1999)","21st Century (2000+)"))</f>
        <v>21st Century (2000+)</v>
      </c>
      <c r="D229" t="s">
        <v>457</v>
      </c>
      <c r="E229" t="s">
        <v>458</v>
      </c>
      <c r="F229" t="s">
        <v>23</v>
      </c>
      <c r="G229" t="s">
        <v>24</v>
      </c>
      <c r="H229">
        <v>4.07</v>
      </c>
      <c r="I229">
        <v>113718</v>
      </c>
      <c r="J229" t="s">
        <v>19</v>
      </c>
      <c r="K229">
        <v>4270.6499999999996</v>
      </c>
      <c r="L229">
        <v>2562.39</v>
      </c>
      <c r="M229">
        <v>10.65</v>
      </c>
      <c r="N229">
        <v>259</v>
      </c>
      <c r="O229" t="s">
        <v>34</v>
      </c>
      <c r="P229">
        <v>401</v>
      </c>
    </row>
    <row r="230" spans="1:16" x14ac:dyDescent="0.35">
      <c r="A230">
        <v>645</v>
      </c>
      <c r="B230">
        <v>2001</v>
      </c>
      <c r="C230" t="str">
        <f>IF(book_sales[[#This Row],[Publishing Year]]&lt;1900,"Classic (Before 1900)",IF(book_sales[[#This Row],[Publishing Year]]&lt;2000,"20th Century (1900-1999)","21st Century (2000+)"))</f>
        <v>21st Century (2000+)</v>
      </c>
      <c r="D230" t="s">
        <v>1151</v>
      </c>
      <c r="E230" t="s">
        <v>458</v>
      </c>
      <c r="F230" t="s">
        <v>17</v>
      </c>
      <c r="G230" t="s">
        <v>532</v>
      </c>
      <c r="H230">
        <v>4.1900000000000004</v>
      </c>
      <c r="I230">
        <v>86103</v>
      </c>
      <c r="J230" t="s">
        <v>19</v>
      </c>
      <c r="K230">
        <v>1096.78</v>
      </c>
      <c r="L230">
        <v>658.06799999999998</v>
      </c>
      <c r="M230">
        <v>8.99</v>
      </c>
      <c r="N230">
        <v>739</v>
      </c>
      <c r="O230" t="s">
        <v>46</v>
      </c>
      <c r="P230">
        <v>43848</v>
      </c>
    </row>
    <row r="231" spans="1:16" x14ac:dyDescent="0.35">
      <c r="A231">
        <v>23</v>
      </c>
      <c r="B231">
        <v>1993</v>
      </c>
      <c r="C231" t="str">
        <f>IF(book_sales[[#This Row],[Publishing Year]]&lt;1900,"Classic (Before 1900)",IF(book_sales[[#This Row],[Publishing Year]]&lt;2000,"20th Century (1900-1999)","21st Century (2000+)"))</f>
        <v>20th Century (1900-1999)</v>
      </c>
      <c r="D231" t="s">
        <v>75</v>
      </c>
      <c r="E231" t="s">
        <v>76</v>
      </c>
      <c r="F231" t="s">
        <v>23</v>
      </c>
      <c r="G231" t="s">
        <v>24</v>
      </c>
      <c r="H231">
        <v>4.38</v>
      </c>
      <c r="I231">
        <v>157395</v>
      </c>
      <c r="J231" t="s">
        <v>19</v>
      </c>
      <c r="K231">
        <v>8171.67</v>
      </c>
      <c r="L231">
        <v>0</v>
      </c>
      <c r="M231">
        <v>2.99</v>
      </c>
      <c r="N231">
        <v>24</v>
      </c>
      <c r="O231" t="s">
        <v>27</v>
      </c>
      <c r="P231">
        <v>2733</v>
      </c>
    </row>
    <row r="232" spans="1:16" x14ac:dyDescent="0.35">
      <c r="A232">
        <v>181</v>
      </c>
      <c r="B232">
        <v>1996</v>
      </c>
      <c r="C232" t="str">
        <f>IF(book_sales[[#This Row],[Publishing Year]]&lt;1900,"Classic (Before 1900)",IF(book_sales[[#This Row],[Publishing Year]]&lt;2000,"20th Century (1900-1999)","21st Century (2000+)"))</f>
        <v>20th Century (1900-1999)</v>
      </c>
      <c r="D232" t="s">
        <v>360</v>
      </c>
      <c r="E232" t="s">
        <v>76</v>
      </c>
      <c r="F232" t="s">
        <v>23</v>
      </c>
      <c r="G232" t="s">
        <v>24</v>
      </c>
      <c r="H232">
        <v>4.34</v>
      </c>
      <c r="I232">
        <v>123736</v>
      </c>
      <c r="J232" t="s">
        <v>41</v>
      </c>
      <c r="K232">
        <v>1024.8499999999999</v>
      </c>
      <c r="L232">
        <v>614.91</v>
      </c>
      <c r="M232">
        <v>1.99</v>
      </c>
      <c r="N232">
        <v>197</v>
      </c>
      <c r="O232" t="s">
        <v>27</v>
      </c>
      <c r="P232">
        <v>515</v>
      </c>
    </row>
    <row r="233" spans="1:16" x14ac:dyDescent="0.35">
      <c r="A233">
        <v>333</v>
      </c>
      <c r="B233">
        <v>2001</v>
      </c>
      <c r="C233" t="str">
        <f>IF(book_sales[[#This Row],[Publishing Year]]&lt;1900,"Classic (Before 1900)",IF(book_sales[[#This Row],[Publishing Year]]&lt;2000,"20th Century (1900-1999)","21st Century (2000+)"))</f>
        <v>21st Century (2000+)</v>
      </c>
      <c r="D233" t="s">
        <v>631</v>
      </c>
      <c r="E233" t="s">
        <v>76</v>
      </c>
      <c r="F233" t="s">
        <v>23</v>
      </c>
      <c r="G233" t="s">
        <v>532</v>
      </c>
      <c r="H233">
        <v>4.26</v>
      </c>
      <c r="I233">
        <v>103552</v>
      </c>
      <c r="J233" t="s">
        <v>19</v>
      </c>
      <c r="K233">
        <v>1141.1400000000001</v>
      </c>
      <c r="L233">
        <v>684.68399999999997</v>
      </c>
      <c r="M233">
        <v>4.62</v>
      </c>
      <c r="N233">
        <v>356</v>
      </c>
      <c r="O233" t="s">
        <v>34</v>
      </c>
      <c r="P233">
        <v>247</v>
      </c>
    </row>
    <row r="234" spans="1:16" x14ac:dyDescent="0.35">
      <c r="A234">
        <v>495</v>
      </c>
      <c r="B234">
        <v>2005</v>
      </c>
      <c r="C234" t="str">
        <f>IF(book_sales[[#This Row],[Publishing Year]]&lt;1900,"Classic (Before 1900)",IF(book_sales[[#This Row],[Publishing Year]]&lt;2000,"20th Century (1900-1999)","21st Century (2000+)"))</f>
        <v>21st Century (2000+)</v>
      </c>
      <c r="D234" t="s">
        <v>906</v>
      </c>
      <c r="E234" t="s">
        <v>76</v>
      </c>
      <c r="F234" t="s">
        <v>23</v>
      </c>
      <c r="G234" t="s">
        <v>53</v>
      </c>
      <c r="H234">
        <v>4.43</v>
      </c>
      <c r="I234">
        <v>87098</v>
      </c>
      <c r="J234" t="s">
        <v>41</v>
      </c>
      <c r="K234">
        <v>1746.6</v>
      </c>
      <c r="L234">
        <v>1047.96</v>
      </c>
      <c r="M234">
        <v>10.65</v>
      </c>
      <c r="N234">
        <v>547</v>
      </c>
      <c r="O234" t="s">
        <v>34</v>
      </c>
      <c r="P234">
        <v>4428</v>
      </c>
    </row>
    <row r="235" spans="1:16" x14ac:dyDescent="0.35">
      <c r="A235">
        <v>744</v>
      </c>
      <c r="B235">
        <v>2009</v>
      </c>
      <c r="C235" t="str">
        <f>IF(book_sales[[#This Row],[Publishing Year]]&lt;1900,"Classic (Before 1900)",IF(book_sales[[#This Row],[Publishing Year]]&lt;2000,"20th Century (1900-1999)","21st Century (2000+)"))</f>
        <v>21st Century (2000+)</v>
      </c>
      <c r="D235" t="s">
        <v>1309</v>
      </c>
      <c r="E235" t="s">
        <v>76</v>
      </c>
      <c r="F235" t="s">
        <v>23</v>
      </c>
      <c r="G235" t="s">
        <v>53</v>
      </c>
      <c r="H235">
        <v>4.42</v>
      </c>
      <c r="I235">
        <v>68854</v>
      </c>
      <c r="J235" t="s">
        <v>19</v>
      </c>
      <c r="K235">
        <v>1391.13</v>
      </c>
      <c r="L235">
        <v>834.678</v>
      </c>
      <c r="M235">
        <v>11.89</v>
      </c>
      <c r="N235">
        <v>854</v>
      </c>
      <c r="O235" t="s">
        <v>66</v>
      </c>
      <c r="P235">
        <v>32184</v>
      </c>
    </row>
    <row r="236" spans="1:16" x14ac:dyDescent="0.35">
      <c r="A236">
        <v>286</v>
      </c>
      <c r="B236">
        <v>1986</v>
      </c>
      <c r="C236" t="str">
        <f>IF(book_sales[[#This Row],[Publishing Year]]&lt;1900,"Classic (Before 1900)",IF(book_sales[[#This Row],[Publishing Year]]&lt;2000,"20th Century (1900-1999)","21st Century (2000+)"))</f>
        <v>20th Century (1900-1999)</v>
      </c>
      <c r="D236" t="s">
        <v>544</v>
      </c>
      <c r="E236" t="s">
        <v>545</v>
      </c>
      <c r="F236" t="s">
        <v>23</v>
      </c>
      <c r="G236" t="s">
        <v>532</v>
      </c>
      <c r="H236">
        <v>4.3</v>
      </c>
      <c r="I236">
        <v>123945</v>
      </c>
      <c r="J236" t="s">
        <v>19</v>
      </c>
      <c r="K236">
        <v>950.82</v>
      </c>
      <c r="L236">
        <v>0</v>
      </c>
      <c r="M236">
        <v>2.99</v>
      </c>
      <c r="N236">
        <v>309</v>
      </c>
      <c r="O236" t="s">
        <v>27</v>
      </c>
      <c r="P236">
        <v>318</v>
      </c>
    </row>
    <row r="237" spans="1:16" x14ac:dyDescent="0.35">
      <c r="A237">
        <v>781</v>
      </c>
      <c r="B237">
        <v>1985</v>
      </c>
      <c r="C237" t="str">
        <f>IF(book_sales[[#This Row],[Publishing Year]]&lt;1900,"Classic (Before 1900)",IF(book_sales[[#This Row],[Publishing Year]]&lt;2000,"20th Century (1900-1999)","21st Century (2000+)"))</f>
        <v>20th Century (1900-1999)</v>
      </c>
      <c r="D237" t="s">
        <v>1369</v>
      </c>
      <c r="E237" t="s">
        <v>1370</v>
      </c>
      <c r="F237" t="s">
        <v>23</v>
      </c>
      <c r="G237" t="s">
        <v>24</v>
      </c>
      <c r="H237">
        <v>3.86</v>
      </c>
      <c r="I237">
        <v>55678</v>
      </c>
      <c r="J237" t="s">
        <v>19</v>
      </c>
      <c r="K237">
        <v>573.85</v>
      </c>
      <c r="L237">
        <v>0</v>
      </c>
      <c r="M237">
        <v>4.99</v>
      </c>
      <c r="N237">
        <v>905</v>
      </c>
      <c r="O237" t="s">
        <v>27</v>
      </c>
      <c r="P237">
        <v>28296</v>
      </c>
    </row>
    <row r="238" spans="1:16" x14ac:dyDescent="0.35">
      <c r="A238">
        <v>18</v>
      </c>
      <c r="B238">
        <v>1948</v>
      </c>
      <c r="C238" t="str">
        <f>IF(book_sales[[#This Row],[Publishing Year]]&lt;1900,"Classic (Before 1900)",IF(book_sales[[#This Row],[Publishing Year]]&lt;2000,"20th Century (1900-1999)","21st Century (2000+)"))</f>
        <v>20th Century (1900-1999)</v>
      </c>
      <c r="D238" t="s">
        <v>64</v>
      </c>
      <c r="E238" t="s">
        <v>65</v>
      </c>
      <c r="F238" t="s">
        <v>17</v>
      </c>
      <c r="G238" t="s">
        <v>24</v>
      </c>
      <c r="H238">
        <v>4.28</v>
      </c>
      <c r="I238">
        <v>160860</v>
      </c>
      <c r="J238" t="s">
        <v>19</v>
      </c>
      <c r="K238">
        <v>6234.67</v>
      </c>
      <c r="L238">
        <v>3740.8020000000001</v>
      </c>
      <c r="M238">
        <v>1.99</v>
      </c>
      <c r="N238">
        <v>18</v>
      </c>
      <c r="O238" t="s">
        <v>66</v>
      </c>
      <c r="P238">
        <v>3133</v>
      </c>
    </row>
    <row r="239" spans="1:16" x14ac:dyDescent="0.35">
      <c r="A239">
        <v>566</v>
      </c>
      <c r="B239">
        <v>2004</v>
      </c>
      <c r="C239" t="str">
        <f>IF(book_sales[[#This Row],[Publishing Year]]&lt;1900,"Classic (Before 1900)",IF(book_sales[[#This Row],[Publishing Year]]&lt;2000,"20th Century (1900-1999)","21st Century (2000+)"))</f>
        <v>21st Century (2000+)</v>
      </c>
      <c r="D239" t="s">
        <v>1026</v>
      </c>
      <c r="E239" t="s">
        <v>1027</v>
      </c>
      <c r="G239" t="s">
        <v>24</v>
      </c>
      <c r="H239">
        <v>3.91</v>
      </c>
      <c r="I239">
        <v>67937</v>
      </c>
      <c r="J239" t="s">
        <v>19</v>
      </c>
      <c r="K239">
        <v>1251.22</v>
      </c>
      <c r="L239">
        <v>750.73199999999997</v>
      </c>
      <c r="M239">
        <v>8.57</v>
      </c>
      <c r="N239">
        <v>631</v>
      </c>
      <c r="O239" t="s">
        <v>27</v>
      </c>
      <c r="P239">
        <v>3942</v>
      </c>
    </row>
    <row r="240" spans="1:16" x14ac:dyDescent="0.35">
      <c r="A240">
        <v>494</v>
      </c>
      <c r="B240">
        <v>2003</v>
      </c>
      <c r="C240" t="str">
        <f>IF(book_sales[[#This Row],[Publishing Year]]&lt;1900,"Classic (Before 1900)",IF(book_sales[[#This Row],[Publishing Year]]&lt;2000,"20th Century (1900-1999)","21st Century (2000+)"))</f>
        <v>21st Century (2000+)</v>
      </c>
      <c r="D240" t="s">
        <v>904</v>
      </c>
      <c r="E240" t="s">
        <v>905</v>
      </c>
      <c r="F240" t="s">
        <v>17</v>
      </c>
      <c r="G240" t="s">
        <v>24</v>
      </c>
      <c r="H240">
        <v>3.92</v>
      </c>
      <c r="I240">
        <v>82090</v>
      </c>
      <c r="J240" t="s">
        <v>19</v>
      </c>
      <c r="K240">
        <v>162.36000000000001</v>
      </c>
      <c r="L240">
        <v>0</v>
      </c>
      <c r="M240">
        <v>0.99</v>
      </c>
      <c r="N240">
        <v>546</v>
      </c>
      <c r="O240" t="s">
        <v>27</v>
      </c>
      <c r="P240">
        <v>4428</v>
      </c>
    </row>
    <row r="241" spans="1:16" x14ac:dyDescent="0.35">
      <c r="A241">
        <v>339</v>
      </c>
      <c r="B241">
        <v>2005</v>
      </c>
      <c r="C241" t="str">
        <f>IF(book_sales[[#This Row],[Publishing Year]]&lt;1900,"Classic (Before 1900)",IF(book_sales[[#This Row],[Publishing Year]]&lt;2000,"20th Century (1900-1999)","21st Century (2000+)"))</f>
        <v>21st Century (2000+)</v>
      </c>
      <c r="D241" t="s">
        <v>642</v>
      </c>
      <c r="E241" t="s">
        <v>643</v>
      </c>
      <c r="F241" t="s">
        <v>23</v>
      </c>
      <c r="G241" t="s">
        <v>532</v>
      </c>
      <c r="H241">
        <v>4.3</v>
      </c>
      <c r="I241">
        <v>102923</v>
      </c>
      <c r="J241" t="s">
        <v>19</v>
      </c>
      <c r="K241">
        <v>726.57</v>
      </c>
      <c r="L241">
        <v>435.94200000000001</v>
      </c>
      <c r="M241">
        <v>2.99</v>
      </c>
      <c r="N241">
        <v>364</v>
      </c>
      <c r="O241" t="s">
        <v>27</v>
      </c>
      <c r="P241">
        <v>243</v>
      </c>
    </row>
    <row r="242" spans="1:16" x14ac:dyDescent="0.35">
      <c r="A242">
        <v>68</v>
      </c>
      <c r="B242">
        <v>1980</v>
      </c>
      <c r="C242" t="str">
        <f>IF(book_sales[[#This Row],[Publishing Year]]&lt;1900,"Classic (Before 1900)",IF(book_sales[[#This Row],[Publishing Year]]&lt;2000,"20th Century (1900-1999)","21st Century (2000+)"))</f>
        <v>20th Century (1900-1999)</v>
      </c>
      <c r="D242" t="s">
        <v>163</v>
      </c>
      <c r="E242" t="s">
        <v>164</v>
      </c>
      <c r="F242" t="s">
        <v>23</v>
      </c>
      <c r="G242" t="s">
        <v>24</v>
      </c>
      <c r="H242">
        <v>4.22</v>
      </c>
      <c r="I242">
        <v>153838</v>
      </c>
      <c r="J242" t="s">
        <v>19</v>
      </c>
      <c r="K242">
        <v>11553.54</v>
      </c>
      <c r="L242">
        <v>6932.1239999999998</v>
      </c>
      <c r="M242">
        <v>7.99</v>
      </c>
      <c r="N242">
        <v>71</v>
      </c>
      <c r="O242" t="s">
        <v>34</v>
      </c>
      <c r="P242">
        <v>1446</v>
      </c>
    </row>
    <row r="243" spans="1:16" x14ac:dyDescent="0.35">
      <c r="A243">
        <v>220</v>
      </c>
      <c r="B243">
        <v>1982</v>
      </c>
      <c r="C243" t="str">
        <f>IF(book_sales[[#This Row],[Publishing Year]]&lt;1900,"Classic (Before 1900)",IF(book_sales[[#This Row],[Publishing Year]]&lt;2000,"20th Century (1900-1999)","21st Century (2000+)"))</f>
        <v>20th Century (1900-1999)</v>
      </c>
      <c r="D243" t="s">
        <v>427</v>
      </c>
      <c r="E243" t="s">
        <v>164</v>
      </c>
      <c r="F243" t="s">
        <v>23</v>
      </c>
      <c r="G243" t="s">
        <v>24</v>
      </c>
      <c r="H243">
        <v>4.1900000000000004</v>
      </c>
      <c r="I243">
        <v>131562</v>
      </c>
      <c r="J243" t="s">
        <v>19</v>
      </c>
      <c r="K243">
        <v>2593.67</v>
      </c>
      <c r="L243">
        <v>1556.202</v>
      </c>
      <c r="M243">
        <v>5.99</v>
      </c>
      <c r="N243">
        <v>240</v>
      </c>
      <c r="O243" t="s">
        <v>31</v>
      </c>
      <c r="P243">
        <v>433</v>
      </c>
    </row>
    <row r="244" spans="1:16" x14ac:dyDescent="0.35">
      <c r="A244">
        <v>483</v>
      </c>
      <c r="B244">
        <v>1984</v>
      </c>
      <c r="C244" t="str">
        <f>IF(book_sales[[#This Row],[Publishing Year]]&lt;1900,"Classic (Before 1900)",IF(book_sales[[#This Row],[Publishing Year]]&lt;2000,"20th Century (1900-1999)","21st Century (2000+)"))</f>
        <v>20th Century (1900-1999)</v>
      </c>
      <c r="D244" t="s">
        <v>889</v>
      </c>
      <c r="E244" t="s">
        <v>164</v>
      </c>
      <c r="F244" t="s">
        <v>23</v>
      </c>
      <c r="G244" t="s">
        <v>532</v>
      </c>
      <c r="H244">
        <v>4.08</v>
      </c>
      <c r="I244">
        <v>93774</v>
      </c>
      <c r="J244" t="s">
        <v>19</v>
      </c>
      <c r="K244">
        <v>1985.63</v>
      </c>
      <c r="L244">
        <v>1191.3779999999999</v>
      </c>
      <c r="M244">
        <v>11.89</v>
      </c>
      <c r="N244">
        <v>535</v>
      </c>
      <c r="O244" t="s">
        <v>20</v>
      </c>
      <c r="P244">
        <v>4509</v>
      </c>
    </row>
    <row r="245" spans="1:16" x14ac:dyDescent="0.35">
      <c r="A245">
        <v>511</v>
      </c>
      <c r="B245">
        <v>1987</v>
      </c>
      <c r="C245" t="str">
        <f>IF(book_sales[[#This Row],[Publishing Year]]&lt;1900,"Classic (Before 1900)",IF(book_sales[[#This Row],[Publishing Year]]&lt;2000,"20th Century (1900-1999)","21st Century (2000+)"))</f>
        <v>20th Century (1900-1999)</v>
      </c>
      <c r="D245" t="s">
        <v>931</v>
      </c>
      <c r="E245" t="s">
        <v>164</v>
      </c>
      <c r="F245" t="s">
        <v>17</v>
      </c>
      <c r="G245" t="s">
        <v>24</v>
      </c>
      <c r="H245">
        <v>3.97</v>
      </c>
      <c r="I245">
        <v>89569</v>
      </c>
      <c r="J245" t="s">
        <v>41</v>
      </c>
      <c r="K245">
        <v>478.4</v>
      </c>
      <c r="L245">
        <v>0</v>
      </c>
      <c r="M245">
        <v>2.99</v>
      </c>
      <c r="N245">
        <v>566</v>
      </c>
      <c r="O245" t="s">
        <v>27</v>
      </c>
      <c r="P245">
        <v>4320</v>
      </c>
    </row>
    <row r="246" spans="1:16" x14ac:dyDescent="0.35">
      <c r="A246">
        <v>801</v>
      </c>
      <c r="B246">
        <v>1992</v>
      </c>
      <c r="C246" t="str">
        <f>IF(book_sales[[#This Row],[Publishing Year]]&lt;1900,"Classic (Before 1900)",IF(book_sales[[#This Row],[Publishing Year]]&lt;2000,"20th Century (1900-1999)","21st Century (2000+)"))</f>
        <v>20th Century (1900-1999)</v>
      </c>
      <c r="D246" t="s">
        <v>1406</v>
      </c>
      <c r="E246" t="s">
        <v>164</v>
      </c>
      <c r="F246" t="s">
        <v>17</v>
      </c>
      <c r="G246" t="s">
        <v>24</v>
      </c>
      <c r="H246">
        <v>3.96</v>
      </c>
      <c r="I246">
        <v>72426</v>
      </c>
      <c r="J246" t="s">
        <v>41</v>
      </c>
      <c r="K246">
        <v>573.85</v>
      </c>
      <c r="L246">
        <v>344.31</v>
      </c>
      <c r="M246">
        <v>4.99</v>
      </c>
      <c r="N246">
        <v>931</v>
      </c>
      <c r="O246" t="s">
        <v>66</v>
      </c>
      <c r="P246">
        <v>2916</v>
      </c>
    </row>
    <row r="247" spans="1:16" x14ac:dyDescent="0.35">
      <c r="A247">
        <v>917</v>
      </c>
      <c r="B247">
        <v>1995</v>
      </c>
      <c r="C247" t="str">
        <f>IF(book_sales[[#This Row],[Publishing Year]]&lt;1900,"Classic (Before 1900)",IF(book_sales[[#This Row],[Publishing Year]]&lt;2000,"20th Century (1900-1999)","21st Century (2000+)"))</f>
        <v>20th Century (1900-1999)</v>
      </c>
      <c r="D247" t="s">
        <v>1568</v>
      </c>
      <c r="E247" t="s">
        <v>1569</v>
      </c>
      <c r="F247" t="s">
        <v>23</v>
      </c>
      <c r="G247" t="s">
        <v>532</v>
      </c>
      <c r="H247">
        <v>4.01</v>
      </c>
      <c r="I247">
        <v>68011</v>
      </c>
      <c r="J247" t="s">
        <v>19</v>
      </c>
      <c r="K247">
        <v>858.03</v>
      </c>
      <c r="L247">
        <v>514.81799999999998</v>
      </c>
      <c r="M247">
        <v>7.73</v>
      </c>
      <c r="N247">
        <v>1075</v>
      </c>
      <c r="O247" t="s">
        <v>31</v>
      </c>
      <c r="P247">
        <v>4360</v>
      </c>
    </row>
    <row r="248" spans="1:16" x14ac:dyDescent="0.35">
      <c r="A248">
        <v>267</v>
      </c>
      <c r="B248">
        <v>1960</v>
      </c>
      <c r="C248" t="str">
        <f>IF(book_sales[[#This Row],[Publishing Year]]&lt;1900,"Classic (Before 1900)",IF(book_sales[[#This Row],[Publishing Year]]&lt;2000,"20th Century (1900-1999)","21st Century (2000+)"))</f>
        <v>20th Century (1900-1999)</v>
      </c>
      <c r="D248" t="s">
        <v>508</v>
      </c>
      <c r="E248" t="s">
        <v>509</v>
      </c>
      <c r="G248" t="s">
        <v>24</v>
      </c>
      <c r="H248">
        <v>4.12</v>
      </c>
      <c r="I248">
        <v>117582</v>
      </c>
      <c r="J248" t="s">
        <v>41</v>
      </c>
      <c r="K248">
        <v>706.45</v>
      </c>
      <c r="L248">
        <v>423.87</v>
      </c>
      <c r="M248">
        <v>1.99</v>
      </c>
      <c r="N248">
        <v>287</v>
      </c>
      <c r="O248" t="s">
        <v>66</v>
      </c>
      <c r="P248">
        <v>355</v>
      </c>
    </row>
    <row r="249" spans="1:16" x14ac:dyDescent="0.35">
      <c r="A249">
        <v>817</v>
      </c>
      <c r="B249">
        <v>1954</v>
      </c>
      <c r="C249" t="str">
        <f>IF(book_sales[[#This Row],[Publishing Year]]&lt;1900,"Classic (Before 1900)",IF(book_sales[[#This Row],[Publishing Year]]&lt;2000,"20th Century (1900-1999)","21st Century (2000+)"))</f>
        <v>20th Century (1900-1999)</v>
      </c>
      <c r="D249" t="s">
        <v>1426</v>
      </c>
      <c r="E249" t="s">
        <v>509</v>
      </c>
      <c r="F249" t="s">
        <v>23</v>
      </c>
      <c r="G249" t="s">
        <v>532</v>
      </c>
      <c r="H249">
        <v>4.16</v>
      </c>
      <c r="I249">
        <v>80883</v>
      </c>
      <c r="J249" t="s">
        <v>19</v>
      </c>
      <c r="K249">
        <v>112.86</v>
      </c>
      <c r="L249">
        <v>67.715999999999994</v>
      </c>
      <c r="M249">
        <v>0.99</v>
      </c>
      <c r="N249">
        <v>955</v>
      </c>
      <c r="O249" t="s">
        <v>27</v>
      </c>
      <c r="P249">
        <v>2916</v>
      </c>
    </row>
    <row r="250" spans="1:16" x14ac:dyDescent="0.35">
      <c r="A250">
        <v>691</v>
      </c>
      <c r="B250">
        <v>1945</v>
      </c>
      <c r="C250" t="str">
        <f>IF(book_sales[[#This Row],[Publishing Year]]&lt;1900,"Classic (Before 1900)",IF(book_sales[[#This Row],[Publishing Year]]&lt;2000,"20th Century (1900-1999)","21st Century (2000+)"))</f>
        <v>20th Century (1900-1999)</v>
      </c>
      <c r="D250" t="s">
        <v>1229</v>
      </c>
      <c r="E250" t="s">
        <v>1230</v>
      </c>
      <c r="F250" t="s">
        <v>17</v>
      </c>
      <c r="G250" t="s">
        <v>24</v>
      </c>
      <c r="H250">
        <v>3.88</v>
      </c>
      <c r="I250">
        <v>89033</v>
      </c>
      <c r="J250" t="s">
        <v>19</v>
      </c>
      <c r="K250">
        <v>352.82</v>
      </c>
      <c r="L250">
        <v>211.69200000000001</v>
      </c>
      <c r="M250">
        <v>2.99</v>
      </c>
      <c r="N250">
        <v>797</v>
      </c>
      <c r="O250" t="s">
        <v>27</v>
      </c>
      <c r="P250">
        <v>36504</v>
      </c>
    </row>
    <row r="251" spans="1:16" x14ac:dyDescent="0.35">
      <c r="A251">
        <v>49</v>
      </c>
      <c r="B251">
        <v>1950</v>
      </c>
      <c r="C251" t="str">
        <f>IF(book_sales[[#This Row],[Publishing Year]]&lt;1900,"Classic (Before 1900)",IF(book_sales[[#This Row],[Publishing Year]]&lt;2000,"20th Century (1900-1999)","21st Century (2000+)"))</f>
        <v>20th Century (1900-1999)</v>
      </c>
      <c r="D251" t="s">
        <v>123</v>
      </c>
      <c r="E251" t="s">
        <v>124</v>
      </c>
      <c r="F251" t="s">
        <v>17</v>
      </c>
      <c r="G251" t="s">
        <v>24</v>
      </c>
      <c r="H251">
        <v>3.83</v>
      </c>
      <c r="I251">
        <v>164708</v>
      </c>
      <c r="J251" t="s">
        <v>19</v>
      </c>
      <c r="K251">
        <v>15058.27</v>
      </c>
      <c r="L251">
        <v>9034.9619999999995</v>
      </c>
      <c r="M251">
        <v>8.59</v>
      </c>
      <c r="N251">
        <v>51</v>
      </c>
      <c r="O251" t="s">
        <v>31</v>
      </c>
      <c r="P251">
        <v>1753</v>
      </c>
    </row>
    <row r="252" spans="1:16" x14ac:dyDescent="0.35">
      <c r="A252">
        <v>573</v>
      </c>
      <c r="B252">
        <v>2015</v>
      </c>
      <c r="C252" t="str">
        <f>IF(book_sales[[#This Row],[Publishing Year]]&lt;1900,"Classic (Before 1900)",IF(book_sales[[#This Row],[Publishing Year]]&lt;2000,"20th Century (1900-1999)","21st Century (2000+)"))</f>
        <v>21st Century (2000+)</v>
      </c>
      <c r="D252" t="s">
        <v>1037</v>
      </c>
      <c r="E252" t="s">
        <v>591</v>
      </c>
      <c r="F252" t="s">
        <v>92</v>
      </c>
      <c r="G252" t="s">
        <v>24</v>
      </c>
      <c r="H252">
        <v>3.76</v>
      </c>
      <c r="I252">
        <v>75320</v>
      </c>
      <c r="J252" t="s">
        <v>19</v>
      </c>
      <c r="K252">
        <v>1134.72</v>
      </c>
      <c r="L252">
        <v>680.83199999999999</v>
      </c>
      <c r="M252">
        <v>7.88</v>
      </c>
      <c r="N252">
        <v>637</v>
      </c>
      <c r="O252" t="s">
        <v>31</v>
      </c>
      <c r="P252">
        <v>3888</v>
      </c>
    </row>
    <row r="253" spans="1:16" x14ac:dyDescent="0.35">
      <c r="A253">
        <v>262</v>
      </c>
      <c r="B253">
        <v>1967</v>
      </c>
      <c r="C253" t="str">
        <f>IF(book_sales[[#This Row],[Publishing Year]]&lt;1900,"Classic (Before 1900)",IF(book_sales[[#This Row],[Publishing Year]]&lt;2000,"20th Century (1900-1999)","21st Century (2000+)"))</f>
        <v>20th Century (1900-1999)</v>
      </c>
      <c r="D253" t="s">
        <v>500</v>
      </c>
      <c r="E253" t="s">
        <v>501</v>
      </c>
      <c r="F253" t="s">
        <v>23</v>
      </c>
      <c r="G253" t="s">
        <v>24</v>
      </c>
      <c r="H253">
        <v>4.1500000000000004</v>
      </c>
      <c r="I253">
        <v>134537</v>
      </c>
      <c r="J253" t="s">
        <v>19</v>
      </c>
      <c r="K253">
        <v>1085.3699999999999</v>
      </c>
      <c r="L253">
        <v>651.22199999999998</v>
      </c>
      <c r="M253">
        <v>2.99</v>
      </c>
      <c r="N253">
        <v>282</v>
      </c>
      <c r="O253" t="s">
        <v>27</v>
      </c>
      <c r="P253">
        <v>363</v>
      </c>
    </row>
    <row r="254" spans="1:16" x14ac:dyDescent="0.35">
      <c r="A254">
        <v>298</v>
      </c>
      <c r="B254">
        <v>1908</v>
      </c>
      <c r="C254" t="str">
        <f>IF(book_sales[[#This Row],[Publishing Year]]&lt;1900,"Classic (Before 1900)",IF(book_sales[[#This Row],[Publishing Year]]&lt;2000,"20th Century (1900-1999)","21st Century (2000+)"))</f>
        <v>20th Century (1900-1999)</v>
      </c>
      <c r="D254" t="s">
        <v>567</v>
      </c>
      <c r="E254" t="s">
        <v>568</v>
      </c>
      <c r="F254" t="s">
        <v>23</v>
      </c>
      <c r="G254" t="s">
        <v>24</v>
      </c>
      <c r="H254">
        <v>3.91</v>
      </c>
      <c r="I254">
        <v>109994</v>
      </c>
      <c r="J254" t="s">
        <v>19</v>
      </c>
      <c r="K254">
        <v>891.02</v>
      </c>
      <c r="L254">
        <v>0</v>
      </c>
      <c r="M254">
        <v>2.99</v>
      </c>
      <c r="N254">
        <v>321</v>
      </c>
      <c r="O254" t="s">
        <v>27</v>
      </c>
      <c r="P254">
        <v>298</v>
      </c>
    </row>
    <row r="255" spans="1:16" x14ac:dyDescent="0.35">
      <c r="A255">
        <v>188</v>
      </c>
      <c r="B255">
        <v>2005</v>
      </c>
      <c r="C255" t="str">
        <f>IF(book_sales[[#This Row],[Publishing Year]]&lt;1900,"Classic (Before 1900)",IF(book_sales[[#This Row],[Publishing Year]]&lt;2000,"20th Century (1900-1999)","21st Century (2000+)"))</f>
        <v>21st Century (2000+)</v>
      </c>
      <c r="D255" t="s">
        <v>370</v>
      </c>
      <c r="E255" t="s">
        <v>371</v>
      </c>
      <c r="F255" t="s">
        <v>23</v>
      </c>
      <c r="G255" t="s">
        <v>24</v>
      </c>
      <c r="H255">
        <v>4.0199999999999996</v>
      </c>
      <c r="I255">
        <v>106211</v>
      </c>
      <c r="J255" t="s">
        <v>19</v>
      </c>
      <c r="K255">
        <v>483.12</v>
      </c>
      <c r="L255">
        <v>289.87200000000001</v>
      </c>
      <c r="M255">
        <v>0.99</v>
      </c>
      <c r="N255">
        <v>207</v>
      </c>
      <c r="O255" t="s">
        <v>27</v>
      </c>
      <c r="P255">
        <v>488</v>
      </c>
    </row>
    <row r="256" spans="1:16" x14ac:dyDescent="0.35">
      <c r="A256">
        <v>213</v>
      </c>
      <c r="B256">
        <v>1997</v>
      </c>
      <c r="C256" t="str">
        <f>IF(book_sales[[#This Row],[Publishing Year]]&lt;1900,"Classic (Before 1900)",IF(book_sales[[#This Row],[Publishing Year]]&lt;2000,"20th Century (1900-1999)","21st Century (2000+)"))</f>
        <v>20th Century (1900-1999)</v>
      </c>
      <c r="D256" t="s">
        <v>416</v>
      </c>
      <c r="E256" t="s">
        <v>371</v>
      </c>
      <c r="F256" t="s">
        <v>23</v>
      </c>
      <c r="G256" t="s">
        <v>24</v>
      </c>
      <c r="H256">
        <v>4.0999999999999996</v>
      </c>
      <c r="I256">
        <v>104549</v>
      </c>
      <c r="J256" t="s">
        <v>19</v>
      </c>
      <c r="K256">
        <v>4771.2</v>
      </c>
      <c r="L256">
        <v>2862.72</v>
      </c>
      <c r="M256">
        <v>10.65</v>
      </c>
      <c r="N256">
        <v>231</v>
      </c>
      <c r="O256" t="s">
        <v>34</v>
      </c>
      <c r="P256">
        <v>448</v>
      </c>
    </row>
    <row r="257" spans="1:16" x14ac:dyDescent="0.35">
      <c r="A257">
        <v>1035</v>
      </c>
      <c r="B257">
        <v>1911</v>
      </c>
      <c r="C257" t="str">
        <f>IF(book_sales[[#This Row],[Publishing Year]]&lt;1900,"Classic (Before 1900)",IF(book_sales[[#This Row],[Publishing Year]]&lt;2000,"20th Century (1900-1999)","21st Century (2000+)"))</f>
        <v>20th Century (1900-1999)</v>
      </c>
      <c r="D257" t="s">
        <v>1749</v>
      </c>
      <c r="E257" t="s">
        <v>1750</v>
      </c>
      <c r="F257" t="s">
        <v>23</v>
      </c>
      <c r="G257" t="s">
        <v>18</v>
      </c>
      <c r="H257">
        <v>3.35</v>
      </c>
      <c r="I257">
        <v>72421</v>
      </c>
      <c r="J257" t="s">
        <v>41</v>
      </c>
      <c r="K257">
        <v>405.53</v>
      </c>
      <c r="L257">
        <v>243.31800000000001</v>
      </c>
      <c r="M257">
        <v>3.79</v>
      </c>
      <c r="N257">
        <v>1222</v>
      </c>
      <c r="O257" t="s">
        <v>20</v>
      </c>
      <c r="P257">
        <v>107</v>
      </c>
    </row>
    <row r="258" spans="1:16" x14ac:dyDescent="0.35">
      <c r="A258">
        <v>368</v>
      </c>
      <c r="B258">
        <v>1920</v>
      </c>
      <c r="C258" t="str">
        <f>IF(book_sales[[#This Row],[Publishing Year]]&lt;1900,"Classic (Before 1900)",IF(book_sales[[#This Row],[Publishing Year]]&lt;2000,"20th Century (1900-1999)","21st Century (2000+)"))</f>
        <v>20th Century (1900-1999)</v>
      </c>
      <c r="D258" t="s">
        <v>691</v>
      </c>
      <c r="E258" t="s">
        <v>692</v>
      </c>
      <c r="F258" t="s">
        <v>23</v>
      </c>
      <c r="G258" t="s">
        <v>24</v>
      </c>
      <c r="H258">
        <v>3.93</v>
      </c>
      <c r="I258">
        <v>102646</v>
      </c>
      <c r="J258" t="s">
        <v>19</v>
      </c>
      <c r="K258">
        <v>1188.76</v>
      </c>
      <c r="L258">
        <v>713.25599999999997</v>
      </c>
      <c r="M258">
        <v>5.26</v>
      </c>
      <c r="N258">
        <v>398</v>
      </c>
      <c r="O258" t="s">
        <v>27</v>
      </c>
      <c r="P258">
        <v>6102</v>
      </c>
    </row>
    <row r="259" spans="1:16" x14ac:dyDescent="0.35">
      <c r="A259">
        <v>978</v>
      </c>
      <c r="B259">
        <v>1905</v>
      </c>
      <c r="C259" t="str">
        <f>IF(book_sales[[#This Row],[Publishing Year]]&lt;1900,"Classic (Before 1900)",IF(book_sales[[#This Row],[Publishing Year]]&lt;2000,"20th Century (1900-1999)","21st Century (2000+)"))</f>
        <v>20th Century (1900-1999)</v>
      </c>
      <c r="D259" t="s">
        <v>1662</v>
      </c>
      <c r="E259" t="s">
        <v>1663</v>
      </c>
      <c r="F259" t="s">
        <v>23</v>
      </c>
      <c r="G259" t="s">
        <v>24</v>
      </c>
      <c r="H259">
        <v>3.94</v>
      </c>
      <c r="I259">
        <v>60611</v>
      </c>
      <c r="J259" t="s">
        <v>19</v>
      </c>
      <c r="K259">
        <v>325.91000000000003</v>
      </c>
      <c r="L259">
        <v>0</v>
      </c>
      <c r="M259">
        <v>2.99</v>
      </c>
      <c r="N259">
        <v>1154</v>
      </c>
      <c r="O259" t="s">
        <v>27</v>
      </c>
      <c r="P259">
        <v>4240</v>
      </c>
    </row>
    <row r="260" spans="1:16" x14ac:dyDescent="0.35">
      <c r="A260">
        <v>790</v>
      </c>
      <c r="B260">
        <v>1997</v>
      </c>
      <c r="C260" t="str">
        <f>IF(book_sales[[#This Row],[Publishing Year]]&lt;1900,"Classic (Before 1900)",IF(book_sales[[#This Row],[Publishing Year]]&lt;2000,"20th Century (1900-1999)","21st Century (2000+)"))</f>
        <v>20th Century (1900-1999)</v>
      </c>
      <c r="D260" t="s">
        <v>1386</v>
      </c>
      <c r="E260" t="s">
        <v>1387</v>
      </c>
      <c r="F260" t="s">
        <v>23</v>
      </c>
      <c r="G260" t="s">
        <v>53</v>
      </c>
      <c r="H260">
        <v>4.42</v>
      </c>
      <c r="I260">
        <v>67047</v>
      </c>
      <c r="J260" t="s">
        <v>19</v>
      </c>
      <c r="K260">
        <v>458.85</v>
      </c>
      <c r="L260">
        <v>0</v>
      </c>
      <c r="M260">
        <v>3.99</v>
      </c>
      <c r="N260">
        <v>915</v>
      </c>
      <c r="O260" t="s">
        <v>27</v>
      </c>
      <c r="P260">
        <v>2916</v>
      </c>
    </row>
    <row r="261" spans="1:16" x14ac:dyDescent="0.35">
      <c r="A261">
        <v>656</v>
      </c>
      <c r="B261">
        <v>2011</v>
      </c>
      <c r="C261" t="str">
        <f>IF(book_sales[[#This Row],[Publishing Year]]&lt;1900,"Classic (Before 1900)",IF(book_sales[[#This Row],[Publishing Year]]&lt;2000,"20th Century (1900-1999)","21st Century (2000+)"))</f>
        <v>21st Century (2000+)</v>
      </c>
      <c r="D261" t="s">
        <v>1169</v>
      </c>
      <c r="E261" t="s">
        <v>1170</v>
      </c>
      <c r="F261" t="s">
        <v>23</v>
      </c>
      <c r="G261" t="s">
        <v>24</v>
      </c>
      <c r="H261">
        <v>3.88</v>
      </c>
      <c r="I261">
        <v>64637</v>
      </c>
      <c r="J261" t="s">
        <v>41</v>
      </c>
      <c r="K261">
        <v>912.73</v>
      </c>
      <c r="L261">
        <v>547.63800000000003</v>
      </c>
      <c r="M261">
        <v>7.67</v>
      </c>
      <c r="N261">
        <v>753</v>
      </c>
      <c r="O261" t="s">
        <v>46</v>
      </c>
      <c r="P261">
        <v>41472</v>
      </c>
    </row>
    <row r="262" spans="1:16" x14ac:dyDescent="0.35">
      <c r="A262">
        <v>649</v>
      </c>
      <c r="B262">
        <v>2010</v>
      </c>
      <c r="C262" t="str">
        <f>IF(book_sales[[#This Row],[Publishing Year]]&lt;1900,"Classic (Before 1900)",IF(book_sales[[#This Row],[Publishing Year]]&lt;2000,"20th Century (1900-1999)","21st Century (2000+)"))</f>
        <v>21st Century (2000+)</v>
      </c>
      <c r="D262" t="s">
        <v>1157</v>
      </c>
      <c r="E262" t="s">
        <v>1158</v>
      </c>
      <c r="F262" t="s">
        <v>23</v>
      </c>
      <c r="G262" t="s">
        <v>532</v>
      </c>
      <c r="H262">
        <v>4.17</v>
      </c>
      <c r="I262">
        <v>35283</v>
      </c>
      <c r="J262" t="s">
        <v>19</v>
      </c>
      <c r="K262">
        <v>119.79</v>
      </c>
      <c r="L262">
        <v>71.873999999999995</v>
      </c>
      <c r="M262">
        <v>0.99</v>
      </c>
      <c r="N262">
        <v>743</v>
      </c>
      <c r="O262" t="s">
        <v>27</v>
      </c>
      <c r="P262">
        <v>43416</v>
      </c>
    </row>
    <row r="263" spans="1:16" x14ac:dyDescent="0.35">
      <c r="A263">
        <v>583</v>
      </c>
      <c r="B263">
        <v>1854</v>
      </c>
      <c r="C263" t="str">
        <f>IF(book_sales[[#This Row],[Publishing Year]]&lt;1900,"Classic (Before 1900)",IF(book_sales[[#This Row],[Publishing Year]]&lt;2000,"20th Century (1900-1999)","21st Century (2000+)"))</f>
        <v>Classic (Before 1900)</v>
      </c>
      <c r="D263" t="s">
        <v>1051</v>
      </c>
      <c r="E263" t="s">
        <v>1052</v>
      </c>
      <c r="F263" t="s">
        <v>23</v>
      </c>
      <c r="G263" t="s">
        <v>532</v>
      </c>
      <c r="H263">
        <v>4.13</v>
      </c>
      <c r="I263">
        <v>95274</v>
      </c>
      <c r="J263" t="s">
        <v>19</v>
      </c>
      <c r="K263">
        <v>562.59</v>
      </c>
      <c r="L263">
        <v>0</v>
      </c>
      <c r="M263">
        <v>3.99</v>
      </c>
      <c r="N263">
        <v>653</v>
      </c>
      <c r="O263" t="s">
        <v>27</v>
      </c>
      <c r="P263">
        <v>58968</v>
      </c>
    </row>
    <row r="264" spans="1:16" x14ac:dyDescent="0.35">
      <c r="A264">
        <v>530</v>
      </c>
      <c r="B264">
        <v>1958</v>
      </c>
      <c r="C264" t="str">
        <f>IF(book_sales[[#This Row],[Publishing Year]]&lt;1900,"Classic (Before 1900)",IF(book_sales[[#This Row],[Publishing Year]]&lt;2000,"20th Century (1900-1999)","21st Century (2000+)"))</f>
        <v>20th Century (1900-1999)</v>
      </c>
      <c r="D264" t="s">
        <v>962</v>
      </c>
      <c r="E264" t="s">
        <v>963</v>
      </c>
      <c r="F264" t="s">
        <v>17</v>
      </c>
      <c r="G264" t="s">
        <v>24</v>
      </c>
      <c r="H264">
        <v>3.97</v>
      </c>
      <c r="I264">
        <v>105770</v>
      </c>
      <c r="J264" t="s">
        <v>41</v>
      </c>
      <c r="K264">
        <v>1230.46</v>
      </c>
      <c r="L264">
        <v>738.27599999999995</v>
      </c>
      <c r="M264">
        <v>7.99</v>
      </c>
      <c r="N264">
        <v>591</v>
      </c>
      <c r="O264" t="s">
        <v>34</v>
      </c>
      <c r="P264">
        <v>4158</v>
      </c>
    </row>
    <row r="265" spans="1:16" x14ac:dyDescent="0.35">
      <c r="A265">
        <v>740</v>
      </c>
      <c r="B265">
        <v>2012</v>
      </c>
      <c r="C265" t="str">
        <f>IF(book_sales[[#This Row],[Publishing Year]]&lt;1900,"Classic (Before 1900)",IF(book_sales[[#This Row],[Publishing Year]]&lt;2000,"20th Century (1900-1999)","21st Century (2000+)"))</f>
        <v>21st Century (2000+)</v>
      </c>
      <c r="D265" t="s">
        <v>1303</v>
      </c>
      <c r="E265" t="s">
        <v>1304</v>
      </c>
      <c r="F265" t="s">
        <v>23</v>
      </c>
      <c r="G265" t="s">
        <v>24</v>
      </c>
      <c r="H265">
        <v>3.81</v>
      </c>
      <c r="I265">
        <v>61135</v>
      </c>
      <c r="J265" t="s">
        <v>41</v>
      </c>
      <c r="K265">
        <v>232.83</v>
      </c>
      <c r="L265">
        <v>139.69800000000001</v>
      </c>
      <c r="M265">
        <v>1.99</v>
      </c>
      <c r="N265">
        <v>848</v>
      </c>
      <c r="O265" t="s">
        <v>27</v>
      </c>
      <c r="P265">
        <v>32400</v>
      </c>
    </row>
    <row r="266" spans="1:16" x14ac:dyDescent="0.35">
      <c r="A266">
        <v>399</v>
      </c>
      <c r="B266">
        <v>2008</v>
      </c>
      <c r="C266" t="str">
        <f>IF(book_sales[[#This Row],[Publishing Year]]&lt;1900,"Classic (Before 1900)",IF(book_sales[[#This Row],[Publishing Year]]&lt;2000,"20th Century (1900-1999)","21st Century (2000+)"))</f>
        <v>21st Century (2000+)</v>
      </c>
      <c r="D266" t="s">
        <v>749</v>
      </c>
      <c r="E266" t="s">
        <v>750</v>
      </c>
      <c r="F266" t="s">
        <v>23</v>
      </c>
      <c r="G266" t="s">
        <v>24</v>
      </c>
      <c r="H266">
        <v>3.78</v>
      </c>
      <c r="I266">
        <v>85019</v>
      </c>
      <c r="J266" t="s">
        <v>19</v>
      </c>
      <c r="K266">
        <v>205.92</v>
      </c>
      <c r="L266">
        <v>0</v>
      </c>
      <c r="M266">
        <v>0.99</v>
      </c>
      <c r="N266">
        <v>433</v>
      </c>
      <c r="O266" t="s">
        <v>27</v>
      </c>
      <c r="P266">
        <v>5616</v>
      </c>
    </row>
    <row r="267" spans="1:16" x14ac:dyDescent="0.35">
      <c r="A267">
        <v>631</v>
      </c>
      <c r="B267">
        <v>2011</v>
      </c>
      <c r="C267" t="str">
        <f>IF(book_sales[[#This Row],[Publishing Year]]&lt;1900,"Classic (Before 1900)",IF(book_sales[[#This Row],[Publishing Year]]&lt;2000,"20th Century (1900-1999)","21st Century (2000+)"))</f>
        <v>21st Century (2000+)</v>
      </c>
      <c r="D267" t="s">
        <v>1128</v>
      </c>
      <c r="E267" t="s">
        <v>1129</v>
      </c>
      <c r="F267" t="s">
        <v>17</v>
      </c>
      <c r="G267" t="s">
        <v>24</v>
      </c>
      <c r="H267">
        <v>3.72</v>
      </c>
      <c r="I267">
        <v>74358</v>
      </c>
      <c r="J267" t="s">
        <v>19</v>
      </c>
      <c r="K267">
        <v>843.28</v>
      </c>
      <c r="L267">
        <v>505.96800000000002</v>
      </c>
      <c r="M267">
        <v>6.64</v>
      </c>
      <c r="N267">
        <v>714</v>
      </c>
      <c r="O267" t="s">
        <v>31</v>
      </c>
      <c r="P267">
        <v>46872</v>
      </c>
    </row>
    <row r="268" spans="1:16" x14ac:dyDescent="0.35">
      <c r="A268">
        <v>396</v>
      </c>
      <c r="B268">
        <v>2004</v>
      </c>
      <c r="C268" t="str">
        <f>IF(book_sales[[#This Row],[Publishing Year]]&lt;1900,"Classic (Before 1900)",IF(book_sales[[#This Row],[Publishing Year]]&lt;2000,"20th Century (1900-1999)","21st Century (2000+)"))</f>
        <v>21st Century (2000+)</v>
      </c>
      <c r="D268" t="s">
        <v>743</v>
      </c>
      <c r="E268" t="s">
        <v>744</v>
      </c>
      <c r="F268" t="s">
        <v>23</v>
      </c>
      <c r="G268" t="s">
        <v>532</v>
      </c>
      <c r="H268">
        <v>4.16</v>
      </c>
      <c r="I268">
        <v>104168</v>
      </c>
      <c r="J268" t="s">
        <v>19</v>
      </c>
      <c r="K268">
        <v>833.91</v>
      </c>
      <c r="L268">
        <v>0</v>
      </c>
      <c r="M268">
        <v>3.99</v>
      </c>
      <c r="N268">
        <v>431</v>
      </c>
      <c r="O268" t="s">
        <v>27</v>
      </c>
      <c r="P268">
        <v>5643</v>
      </c>
    </row>
    <row r="269" spans="1:16" x14ac:dyDescent="0.35">
      <c r="A269">
        <v>326</v>
      </c>
      <c r="B269">
        <v>1978</v>
      </c>
      <c r="C269" t="str">
        <f>IF(book_sales[[#This Row],[Publishing Year]]&lt;1900,"Classic (Before 1900)",IF(book_sales[[#This Row],[Publishing Year]]&lt;2000,"20th Century (1900-1999)","21st Century (2000+)"))</f>
        <v>20th Century (1900-1999)</v>
      </c>
      <c r="D269" t="s">
        <v>618</v>
      </c>
      <c r="E269" t="s">
        <v>619</v>
      </c>
      <c r="F269" t="s">
        <v>23</v>
      </c>
      <c r="G269" t="s">
        <v>532</v>
      </c>
      <c r="H269">
        <v>4.03</v>
      </c>
      <c r="I269">
        <v>117108</v>
      </c>
      <c r="J269" t="s">
        <v>19</v>
      </c>
      <c r="K269">
        <v>997.5</v>
      </c>
      <c r="L269">
        <v>598.5</v>
      </c>
      <c r="M269">
        <v>3.99</v>
      </c>
      <c r="N269">
        <v>350</v>
      </c>
      <c r="O269" t="s">
        <v>27</v>
      </c>
      <c r="P269">
        <v>250</v>
      </c>
    </row>
    <row r="270" spans="1:16" x14ac:dyDescent="0.35">
      <c r="A270">
        <v>961</v>
      </c>
      <c r="B270">
        <v>1890</v>
      </c>
      <c r="C270" t="str">
        <f>IF(book_sales[[#This Row],[Publishing Year]]&lt;1900,"Classic (Before 1900)",IF(book_sales[[#This Row],[Publishing Year]]&lt;2000,"20th Century (1900-1999)","21st Century (2000+)"))</f>
        <v>Classic (Before 1900)</v>
      </c>
      <c r="D270" t="s">
        <v>1638</v>
      </c>
      <c r="E270" t="s">
        <v>1639</v>
      </c>
      <c r="F270" t="s">
        <v>23</v>
      </c>
      <c r="G270" t="s">
        <v>532</v>
      </c>
      <c r="H270">
        <v>4.21</v>
      </c>
      <c r="I270">
        <v>60278</v>
      </c>
      <c r="J270" t="s">
        <v>19</v>
      </c>
      <c r="K270">
        <v>543.91</v>
      </c>
      <c r="L270">
        <v>0</v>
      </c>
      <c r="M270">
        <v>4.99</v>
      </c>
      <c r="N270">
        <v>1132</v>
      </c>
      <c r="O270" t="s">
        <v>27</v>
      </c>
      <c r="P270">
        <v>4280</v>
      </c>
    </row>
    <row r="271" spans="1:16" x14ac:dyDescent="0.35">
      <c r="A271">
        <v>116</v>
      </c>
      <c r="B271">
        <v>2006</v>
      </c>
      <c r="C271" t="str">
        <f>IF(book_sales[[#This Row],[Publishing Year]]&lt;1900,"Classic (Before 1900)",IF(book_sales[[#This Row],[Publishing Year]]&lt;2000,"20th Century (1900-1999)","21st Century (2000+)"))</f>
        <v>21st Century (2000+)</v>
      </c>
      <c r="D271" t="s">
        <v>247</v>
      </c>
      <c r="E271" t="s">
        <v>248</v>
      </c>
      <c r="F271" t="s">
        <v>17</v>
      </c>
      <c r="G271" t="s">
        <v>24</v>
      </c>
      <c r="H271">
        <v>3.71</v>
      </c>
      <c r="I271">
        <v>124371</v>
      </c>
      <c r="J271" t="s">
        <v>41</v>
      </c>
      <c r="K271">
        <v>5841</v>
      </c>
      <c r="L271">
        <v>3504.6</v>
      </c>
      <c r="M271">
        <v>6.49</v>
      </c>
      <c r="N271">
        <v>120</v>
      </c>
      <c r="O271" t="s">
        <v>133</v>
      </c>
      <c r="P271">
        <v>900</v>
      </c>
    </row>
    <row r="272" spans="1:16" x14ac:dyDescent="0.35">
      <c r="A272">
        <v>163</v>
      </c>
      <c r="B272">
        <v>2008</v>
      </c>
      <c r="C272" t="str">
        <f>IF(book_sales[[#This Row],[Publishing Year]]&lt;1900,"Classic (Before 1900)",IF(book_sales[[#This Row],[Publishing Year]]&lt;2000,"20th Century (1900-1999)","21st Century (2000+)"))</f>
        <v>21st Century (2000+)</v>
      </c>
      <c r="D272" t="s">
        <v>327</v>
      </c>
      <c r="E272" t="s">
        <v>248</v>
      </c>
      <c r="F272" t="s">
        <v>17</v>
      </c>
      <c r="G272" t="s">
        <v>24</v>
      </c>
      <c r="H272">
        <v>3.7</v>
      </c>
      <c r="I272">
        <v>124812</v>
      </c>
      <c r="J272" t="s">
        <v>19</v>
      </c>
      <c r="K272">
        <v>5663.7</v>
      </c>
      <c r="L272">
        <v>3398.22</v>
      </c>
      <c r="M272">
        <v>8.99</v>
      </c>
      <c r="N272">
        <v>174</v>
      </c>
      <c r="O272" t="s">
        <v>66</v>
      </c>
      <c r="P272">
        <v>630</v>
      </c>
    </row>
    <row r="273" spans="1:16" x14ac:dyDescent="0.35">
      <c r="A273">
        <v>541</v>
      </c>
      <c r="B273">
        <v>2010</v>
      </c>
      <c r="C273" t="str">
        <f>IF(book_sales[[#This Row],[Publishing Year]]&lt;1900,"Classic (Before 1900)",IF(book_sales[[#This Row],[Publishing Year]]&lt;2000,"20th Century (1900-1999)","21st Century (2000+)"))</f>
        <v>21st Century (2000+)</v>
      </c>
      <c r="D273" t="s">
        <v>980</v>
      </c>
      <c r="E273" t="s">
        <v>248</v>
      </c>
      <c r="F273" t="s">
        <v>17</v>
      </c>
      <c r="G273" t="s">
        <v>24</v>
      </c>
      <c r="H273">
        <v>3.73</v>
      </c>
      <c r="I273">
        <v>83461</v>
      </c>
      <c r="J273" t="s">
        <v>19</v>
      </c>
      <c r="K273">
        <v>910.48</v>
      </c>
      <c r="L273">
        <v>546.28800000000001</v>
      </c>
      <c r="M273">
        <v>5.99</v>
      </c>
      <c r="N273">
        <v>603</v>
      </c>
      <c r="O273" t="s">
        <v>66</v>
      </c>
      <c r="P273">
        <v>4104</v>
      </c>
    </row>
    <row r="274" spans="1:16" x14ac:dyDescent="0.35">
      <c r="A274">
        <v>737</v>
      </c>
      <c r="B274">
        <v>2012</v>
      </c>
      <c r="C274" t="str">
        <f>IF(book_sales[[#This Row],[Publishing Year]]&lt;1900,"Classic (Before 1900)",IF(book_sales[[#This Row],[Publishing Year]]&lt;2000,"20th Century (1900-1999)","21st Century (2000+)"))</f>
        <v>21st Century (2000+)</v>
      </c>
      <c r="D274" t="s">
        <v>1299</v>
      </c>
      <c r="E274" t="s">
        <v>248</v>
      </c>
      <c r="F274" t="s">
        <v>17</v>
      </c>
      <c r="G274" t="s">
        <v>24</v>
      </c>
      <c r="H274">
        <v>3.86</v>
      </c>
      <c r="I274">
        <v>68224</v>
      </c>
      <c r="J274" t="s">
        <v>41</v>
      </c>
      <c r="K274">
        <v>115.83</v>
      </c>
      <c r="L274">
        <v>0</v>
      </c>
      <c r="M274">
        <v>0.99</v>
      </c>
      <c r="N274">
        <v>845</v>
      </c>
      <c r="O274" t="s">
        <v>27</v>
      </c>
      <c r="P274">
        <v>32616</v>
      </c>
    </row>
    <row r="275" spans="1:16" x14ac:dyDescent="0.35">
      <c r="A275">
        <v>643</v>
      </c>
      <c r="B275">
        <v>2016</v>
      </c>
      <c r="C275" t="str">
        <f>IF(book_sales[[#This Row],[Publishing Year]]&lt;1900,"Classic (Before 1900)",IF(book_sales[[#This Row],[Publishing Year]]&lt;2000,"20th Century (1900-1999)","21st Century (2000+)"))</f>
        <v>21st Century (2000+)</v>
      </c>
      <c r="D275" t="s">
        <v>1147</v>
      </c>
      <c r="E275" t="s">
        <v>1148</v>
      </c>
      <c r="F275" t="s">
        <v>23</v>
      </c>
      <c r="G275" t="s">
        <v>18</v>
      </c>
      <c r="H275">
        <v>3.49</v>
      </c>
      <c r="I275">
        <v>76761</v>
      </c>
      <c r="J275" t="s">
        <v>19</v>
      </c>
      <c r="K275">
        <v>974.78</v>
      </c>
      <c r="L275">
        <v>584.86800000000005</v>
      </c>
      <c r="M275">
        <v>7.99</v>
      </c>
      <c r="N275">
        <v>737</v>
      </c>
      <c r="O275" t="s">
        <v>46</v>
      </c>
      <c r="P275">
        <v>44928</v>
      </c>
    </row>
    <row r="276" spans="1:16" x14ac:dyDescent="0.35">
      <c r="A276">
        <v>466</v>
      </c>
      <c r="B276">
        <v>1905</v>
      </c>
      <c r="C276" t="str">
        <f>IF(book_sales[[#This Row],[Publishing Year]]&lt;1900,"Classic (Before 1900)",IF(book_sales[[#This Row],[Publishing Year]]&lt;2000,"20th Century (1900-1999)","21st Century (2000+)"))</f>
        <v>20th Century (1900-1999)</v>
      </c>
      <c r="D276" t="s">
        <v>860</v>
      </c>
      <c r="E276" t="s">
        <v>861</v>
      </c>
      <c r="F276" t="s">
        <v>23</v>
      </c>
      <c r="G276" t="s">
        <v>532</v>
      </c>
      <c r="H276">
        <v>4.0599999999999996</v>
      </c>
      <c r="I276">
        <v>93217</v>
      </c>
      <c r="J276" t="s">
        <v>30</v>
      </c>
      <c r="K276">
        <v>648.09</v>
      </c>
      <c r="L276">
        <v>388.85399999999998</v>
      </c>
      <c r="M276">
        <v>3.79</v>
      </c>
      <c r="N276">
        <v>517</v>
      </c>
      <c r="O276" t="s">
        <v>31</v>
      </c>
      <c r="P276">
        <v>4617</v>
      </c>
    </row>
    <row r="277" spans="1:16" x14ac:dyDescent="0.35">
      <c r="A277">
        <v>387</v>
      </c>
      <c r="B277">
        <v>2002</v>
      </c>
      <c r="C277" t="str">
        <f>IF(book_sales[[#This Row],[Publishing Year]]&lt;1900,"Classic (Before 1900)",IF(book_sales[[#This Row],[Publishing Year]]&lt;2000,"20th Century (1900-1999)","21st Century (2000+)"))</f>
        <v>21st Century (2000+)</v>
      </c>
      <c r="D277" t="s">
        <v>726</v>
      </c>
      <c r="E277" t="s">
        <v>727</v>
      </c>
      <c r="F277" t="s">
        <v>23</v>
      </c>
      <c r="G277" t="s">
        <v>24</v>
      </c>
      <c r="H277">
        <v>3.94</v>
      </c>
      <c r="I277">
        <v>108031</v>
      </c>
      <c r="J277" t="s">
        <v>41</v>
      </c>
      <c r="K277">
        <v>642.85</v>
      </c>
      <c r="L277">
        <v>385.71</v>
      </c>
      <c r="M277">
        <v>2.99</v>
      </c>
      <c r="N277">
        <v>420</v>
      </c>
      <c r="O277" t="s">
        <v>27</v>
      </c>
      <c r="P277">
        <v>5805</v>
      </c>
    </row>
    <row r="278" spans="1:16" x14ac:dyDescent="0.35">
      <c r="A278">
        <v>606</v>
      </c>
      <c r="B278">
        <v>2003</v>
      </c>
      <c r="C278" t="str">
        <f>IF(book_sales[[#This Row],[Publishing Year]]&lt;1900,"Classic (Before 1900)",IF(book_sales[[#This Row],[Publishing Year]]&lt;2000,"20th Century (1900-1999)","21st Century (2000+)"))</f>
        <v>21st Century (2000+)</v>
      </c>
      <c r="D278" t="s">
        <v>1087</v>
      </c>
      <c r="E278" t="s">
        <v>727</v>
      </c>
      <c r="F278" t="s">
        <v>23</v>
      </c>
      <c r="G278" t="s">
        <v>532</v>
      </c>
      <c r="H278">
        <v>4.04</v>
      </c>
      <c r="I278">
        <v>94437</v>
      </c>
      <c r="J278" t="s">
        <v>30</v>
      </c>
      <c r="K278">
        <v>394.68</v>
      </c>
      <c r="L278">
        <v>0</v>
      </c>
      <c r="M278">
        <v>2.99</v>
      </c>
      <c r="N278">
        <v>692</v>
      </c>
      <c r="O278" t="s">
        <v>27</v>
      </c>
      <c r="P278">
        <v>51192</v>
      </c>
    </row>
    <row r="279" spans="1:16" x14ac:dyDescent="0.35">
      <c r="A279">
        <v>641</v>
      </c>
      <c r="B279">
        <v>2005</v>
      </c>
      <c r="C279" t="str">
        <f>IF(book_sales[[#This Row],[Publishing Year]]&lt;1900,"Classic (Before 1900)",IF(book_sales[[#This Row],[Publishing Year]]&lt;2000,"20th Century (1900-1999)","21st Century (2000+)"))</f>
        <v>21st Century (2000+)</v>
      </c>
      <c r="D279" t="s">
        <v>1144</v>
      </c>
      <c r="E279" t="s">
        <v>727</v>
      </c>
      <c r="F279" t="s">
        <v>23</v>
      </c>
      <c r="G279" t="s">
        <v>532</v>
      </c>
      <c r="H279">
        <v>4.04</v>
      </c>
      <c r="I279">
        <v>95638</v>
      </c>
      <c r="J279" t="s">
        <v>19</v>
      </c>
      <c r="K279">
        <v>121.77</v>
      </c>
      <c r="L279">
        <v>73.061999999999998</v>
      </c>
      <c r="M279">
        <v>0.99</v>
      </c>
      <c r="N279">
        <v>733</v>
      </c>
      <c r="O279" t="s">
        <v>27</v>
      </c>
      <c r="P279">
        <v>45360</v>
      </c>
    </row>
    <row r="280" spans="1:16" x14ac:dyDescent="0.35">
      <c r="A280">
        <v>866</v>
      </c>
      <c r="B280">
        <v>2006</v>
      </c>
      <c r="C280" t="str">
        <f>IF(book_sales[[#This Row],[Publishing Year]]&lt;1900,"Classic (Before 1900)",IF(book_sales[[#This Row],[Publishing Year]]&lt;2000,"20th Century (1900-1999)","21st Century (2000+)"))</f>
        <v>21st Century (2000+)</v>
      </c>
      <c r="D280" t="s">
        <v>1495</v>
      </c>
      <c r="E280" t="s">
        <v>727</v>
      </c>
      <c r="F280" t="s">
        <v>17</v>
      </c>
      <c r="G280" t="s">
        <v>532</v>
      </c>
      <c r="H280">
        <v>4.01</v>
      </c>
      <c r="I280">
        <v>103844</v>
      </c>
      <c r="J280" t="s">
        <v>41</v>
      </c>
      <c r="K280">
        <v>282.5</v>
      </c>
      <c r="L280">
        <v>169.5</v>
      </c>
      <c r="M280">
        <v>2.5</v>
      </c>
      <c r="N280">
        <v>1012</v>
      </c>
      <c r="O280" t="s">
        <v>27</v>
      </c>
      <c r="P280">
        <v>2862</v>
      </c>
    </row>
    <row r="281" spans="1:16" x14ac:dyDescent="0.35">
      <c r="A281">
        <v>633</v>
      </c>
      <c r="B281">
        <v>2012</v>
      </c>
      <c r="C281" t="str">
        <f>IF(book_sales[[#This Row],[Publishing Year]]&lt;1900,"Classic (Before 1900)",IF(book_sales[[#This Row],[Publishing Year]]&lt;2000,"20th Century (1900-1999)","21st Century (2000+)"))</f>
        <v>21st Century (2000+)</v>
      </c>
      <c r="D281" t="s">
        <v>1131</v>
      </c>
      <c r="E281" t="s">
        <v>1132</v>
      </c>
      <c r="F281" t="s">
        <v>23</v>
      </c>
      <c r="G281" t="s">
        <v>24</v>
      </c>
      <c r="H281">
        <v>3.95</v>
      </c>
      <c r="I281">
        <v>72328</v>
      </c>
      <c r="J281" t="s">
        <v>19</v>
      </c>
      <c r="K281">
        <v>125.73</v>
      </c>
      <c r="L281">
        <v>75.438000000000002</v>
      </c>
      <c r="M281">
        <v>0.99</v>
      </c>
      <c r="N281">
        <v>716</v>
      </c>
      <c r="O281" t="s">
        <v>27</v>
      </c>
      <c r="P281">
        <v>46872</v>
      </c>
    </row>
    <row r="282" spans="1:16" x14ac:dyDescent="0.35">
      <c r="A282">
        <v>884</v>
      </c>
      <c r="B282">
        <v>2011</v>
      </c>
      <c r="C282" t="str">
        <f>IF(book_sales[[#This Row],[Publishing Year]]&lt;1900,"Classic (Before 1900)",IF(book_sales[[#This Row],[Publishing Year]]&lt;2000,"20th Century (1900-1999)","21st Century (2000+)"))</f>
        <v>21st Century (2000+)</v>
      </c>
      <c r="D282" t="s">
        <v>1519</v>
      </c>
      <c r="E282" t="s">
        <v>1520</v>
      </c>
      <c r="F282" t="s">
        <v>17</v>
      </c>
      <c r="G282" t="s">
        <v>532</v>
      </c>
      <c r="H282">
        <v>4.04</v>
      </c>
      <c r="I282">
        <v>86284</v>
      </c>
      <c r="J282" t="s">
        <v>19</v>
      </c>
      <c r="K282">
        <v>110.88</v>
      </c>
      <c r="L282">
        <v>66.528000000000006</v>
      </c>
      <c r="M282">
        <v>0.99</v>
      </c>
      <c r="N282">
        <v>1036</v>
      </c>
      <c r="O282" t="s">
        <v>27</v>
      </c>
      <c r="P282">
        <v>4440</v>
      </c>
    </row>
    <row r="283" spans="1:16" x14ac:dyDescent="0.35">
      <c r="A283">
        <v>240</v>
      </c>
      <c r="B283">
        <v>2011</v>
      </c>
      <c r="C283" t="str">
        <f>IF(book_sales[[#This Row],[Publishing Year]]&lt;1900,"Classic (Before 1900)",IF(book_sales[[#This Row],[Publishing Year]]&lt;2000,"20th Century (1900-1999)","21st Century (2000+)"))</f>
        <v>21st Century (2000+)</v>
      </c>
      <c r="D283" t="s">
        <v>463</v>
      </c>
      <c r="E283" t="s">
        <v>464</v>
      </c>
      <c r="F283" t="s">
        <v>23</v>
      </c>
      <c r="G283" t="s">
        <v>24</v>
      </c>
      <c r="H283">
        <v>3.81</v>
      </c>
      <c r="I283">
        <v>110481</v>
      </c>
      <c r="J283" t="s">
        <v>19</v>
      </c>
      <c r="K283">
        <v>392.04</v>
      </c>
      <c r="L283">
        <v>235.22399999999999</v>
      </c>
      <c r="M283">
        <v>0.99</v>
      </c>
      <c r="N283">
        <v>262</v>
      </c>
      <c r="O283" t="s">
        <v>27</v>
      </c>
      <c r="P283">
        <v>396</v>
      </c>
    </row>
    <row r="284" spans="1:16" x14ac:dyDescent="0.35">
      <c r="A284">
        <v>795</v>
      </c>
      <c r="B284">
        <v>2015</v>
      </c>
      <c r="C284" t="str">
        <f>IF(book_sales[[#This Row],[Publishing Year]]&lt;1900,"Classic (Before 1900)",IF(book_sales[[#This Row],[Publishing Year]]&lt;2000,"20th Century (1900-1999)","21st Century (2000+)"))</f>
        <v>21st Century (2000+)</v>
      </c>
      <c r="D284" t="s">
        <v>1395</v>
      </c>
      <c r="E284" t="s">
        <v>464</v>
      </c>
      <c r="F284" t="s">
        <v>23</v>
      </c>
      <c r="G284" t="s">
        <v>532</v>
      </c>
      <c r="H284">
        <v>4.07</v>
      </c>
      <c r="I284">
        <v>61439</v>
      </c>
      <c r="J284" t="s">
        <v>19</v>
      </c>
      <c r="K284">
        <v>930.35</v>
      </c>
      <c r="L284">
        <v>558.21</v>
      </c>
      <c r="M284">
        <v>8.09</v>
      </c>
      <c r="N284">
        <v>921</v>
      </c>
      <c r="O284" t="s">
        <v>34</v>
      </c>
      <c r="P284">
        <v>2916</v>
      </c>
    </row>
    <row r="285" spans="1:16" x14ac:dyDescent="0.35">
      <c r="A285">
        <v>500</v>
      </c>
      <c r="B285">
        <v>1964</v>
      </c>
      <c r="C285" t="str">
        <f>IF(book_sales[[#This Row],[Publishing Year]]&lt;1900,"Classic (Before 1900)",IF(book_sales[[#This Row],[Publishing Year]]&lt;2000,"20th Century (1900-1999)","21st Century (2000+)"))</f>
        <v>20th Century (1900-1999)</v>
      </c>
      <c r="D285" t="s">
        <v>914</v>
      </c>
      <c r="E285" t="s">
        <v>915</v>
      </c>
      <c r="F285" t="s">
        <v>23</v>
      </c>
      <c r="G285" t="s">
        <v>532</v>
      </c>
      <c r="H285">
        <v>4.04</v>
      </c>
      <c r="I285">
        <v>69992</v>
      </c>
      <c r="J285" t="s">
        <v>19</v>
      </c>
      <c r="K285">
        <v>813.37</v>
      </c>
      <c r="L285">
        <v>488.02199999999999</v>
      </c>
      <c r="M285">
        <v>4.99</v>
      </c>
      <c r="N285">
        <v>551</v>
      </c>
      <c r="O285" t="s">
        <v>34</v>
      </c>
      <c r="P285">
        <v>4401</v>
      </c>
    </row>
    <row r="286" spans="1:16" x14ac:dyDescent="0.35">
      <c r="A286">
        <v>947</v>
      </c>
      <c r="B286">
        <v>1938</v>
      </c>
      <c r="C286" t="str">
        <f>IF(book_sales[[#This Row],[Publishing Year]]&lt;1900,"Classic (Before 1900)",IF(book_sales[[#This Row],[Publishing Year]]&lt;2000,"20th Century (1900-1999)","21st Century (2000+)"))</f>
        <v>20th Century (1900-1999)</v>
      </c>
      <c r="D286" t="s">
        <v>1617</v>
      </c>
      <c r="E286" t="s">
        <v>1618</v>
      </c>
      <c r="F286" t="s">
        <v>23</v>
      </c>
      <c r="G286" t="s">
        <v>532</v>
      </c>
      <c r="H286">
        <v>4.12</v>
      </c>
      <c r="I286">
        <v>72504</v>
      </c>
      <c r="J286" t="s">
        <v>19</v>
      </c>
      <c r="K286">
        <v>548.9</v>
      </c>
      <c r="L286">
        <v>329.34</v>
      </c>
      <c r="M286">
        <v>4.99</v>
      </c>
      <c r="N286">
        <v>1118</v>
      </c>
      <c r="O286" t="s">
        <v>27</v>
      </c>
      <c r="P286">
        <v>4280</v>
      </c>
    </row>
    <row r="287" spans="1:16" x14ac:dyDescent="0.35">
      <c r="A287">
        <v>862</v>
      </c>
      <c r="B287">
        <v>1945</v>
      </c>
      <c r="C287" t="str">
        <f>IF(book_sales[[#This Row],[Publishing Year]]&lt;1900,"Classic (Before 1900)",IF(book_sales[[#This Row],[Publishing Year]]&lt;2000,"20th Century (1900-1999)","21st Century (2000+)"))</f>
        <v>20th Century (1900-1999)</v>
      </c>
      <c r="D287" t="s">
        <v>1488</v>
      </c>
      <c r="E287" t="s">
        <v>1489</v>
      </c>
      <c r="F287" t="s">
        <v>23</v>
      </c>
      <c r="G287" t="s">
        <v>24</v>
      </c>
      <c r="H287">
        <v>3.99</v>
      </c>
      <c r="I287">
        <v>69087</v>
      </c>
      <c r="J287" t="s">
        <v>41</v>
      </c>
      <c r="K287">
        <v>224.87</v>
      </c>
      <c r="L287">
        <v>134.922</v>
      </c>
      <c r="M287">
        <v>1.99</v>
      </c>
      <c r="N287">
        <v>1008</v>
      </c>
      <c r="O287" t="s">
        <v>27</v>
      </c>
      <c r="P287">
        <v>2862</v>
      </c>
    </row>
    <row r="288" spans="1:16" x14ac:dyDescent="0.35">
      <c r="A288">
        <v>735</v>
      </c>
      <c r="B288">
        <v>1962</v>
      </c>
      <c r="C288" t="str">
        <f>IF(book_sales[[#This Row],[Publishing Year]]&lt;1900,"Classic (Before 1900)",IF(book_sales[[#This Row],[Publishing Year]]&lt;2000,"20th Century (1900-1999)","21st Century (2000+)"))</f>
        <v>20th Century (1900-1999)</v>
      </c>
      <c r="D288" t="s">
        <v>1296</v>
      </c>
      <c r="E288" t="s">
        <v>1297</v>
      </c>
      <c r="F288" t="s">
        <v>23</v>
      </c>
      <c r="G288" t="s">
        <v>532</v>
      </c>
      <c r="H288">
        <v>4.13</v>
      </c>
      <c r="I288">
        <v>81914</v>
      </c>
      <c r="J288" t="s">
        <v>19</v>
      </c>
      <c r="K288">
        <v>1170</v>
      </c>
      <c r="L288">
        <v>702</v>
      </c>
      <c r="M288">
        <v>10</v>
      </c>
      <c r="N288">
        <v>843</v>
      </c>
      <c r="O288" t="s">
        <v>27</v>
      </c>
      <c r="P288">
        <v>32832</v>
      </c>
    </row>
    <row r="289" spans="1:16" x14ac:dyDescent="0.35">
      <c r="A289">
        <v>653</v>
      </c>
      <c r="B289">
        <v>1933</v>
      </c>
      <c r="C289" t="str">
        <f>IF(book_sales[[#This Row],[Publishing Year]]&lt;1900,"Classic (Before 1900)",IF(book_sales[[#This Row],[Publishing Year]]&lt;2000,"20th Century (1900-1999)","21st Century (2000+)"))</f>
        <v>20th Century (1900-1999)</v>
      </c>
      <c r="D289" t="s">
        <v>1163</v>
      </c>
      <c r="E289" t="s">
        <v>1164</v>
      </c>
      <c r="F289" t="s">
        <v>17</v>
      </c>
      <c r="G289" t="s">
        <v>24</v>
      </c>
      <c r="H289">
        <v>3.83</v>
      </c>
      <c r="I289">
        <v>79008</v>
      </c>
      <c r="J289" t="s">
        <v>19</v>
      </c>
      <c r="K289">
        <v>118.8</v>
      </c>
      <c r="L289">
        <v>71.28</v>
      </c>
      <c r="M289">
        <v>0.99</v>
      </c>
      <c r="N289">
        <v>750</v>
      </c>
      <c r="O289" t="s">
        <v>27</v>
      </c>
      <c r="P289">
        <v>42120</v>
      </c>
    </row>
    <row r="290" spans="1:16" x14ac:dyDescent="0.35">
      <c r="A290">
        <v>851</v>
      </c>
      <c r="B290">
        <v>1989</v>
      </c>
      <c r="C290" t="str">
        <f>IF(book_sales[[#This Row],[Publishing Year]]&lt;1900,"Classic (Before 1900)",IF(book_sales[[#This Row],[Publishing Year]]&lt;2000,"20th Century (1900-1999)","21st Century (2000+)"))</f>
        <v>20th Century (1900-1999)</v>
      </c>
      <c r="D290" t="s">
        <v>1473</v>
      </c>
      <c r="E290" t="s">
        <v>1474</v>
      </c>
      <c r="F290" t="s">
        <v>92</v>
      </c>
      <c r="G290" t="s">
        <v>532</v>
      </c>
      <c r="H290">
        <v>4.17</v>
      </c>
      <c r="I290">
        <v>61842</v>
      </c>
      <c r="J290" t="s">
        <v>19</v>
      </c>
      <c r="K290">
        <v>111.87</v>
      </c>
      <c r="L290">
        <v>0</v>
      </c>
      <c r="M290">
        <v>0.99</v>
      </c>
      <c r="N290">
        <v>996</v>
      </c>
      <c r="O290" t="s">
        <v>27</v>
      </c>
      <c r="P290">
        <v>2862</v>
      </c>
    </row>
    <row r="291" spans="1:16" x14ac:dyDescent="0.35">
      <c r="A291">
        <v>703</v>
      </c>
      <c r="B291">
        <v>1973</v>
      </c>
      <c r="C291" t="str">
        <f>IF(book_sales[[#This Row],[Publishing Year]]&lt;1900,"Classic (Before 1900)",IF(book_sales[[#This Row],[Publishing Year]]&lt;2000,"20th Century (1900-1999)","21st Century (2000+)"))</f>
        <v>20th Century (1900-1999)</v>
      </c>
      <c r="D291" t="s">
        <v>1245</v>
      </c>
      <c r="E291" t="s">
        <v>1246</v>
      </c>
      <c r="F291" t="s">
        <v>17</v>
      </c>
      <c r="G291" t="s">
        <v>24</v>
      </c>
      <c r="H291">
        <v>3.99</v>
      </c>
      <c r="I291">
        <v>72493</v>
      </c>
      <c r="J291" t="s">
        <v>41</v>
      </c>
      <c r="K291">
        <v>502.68</v>
      </c>
      <c r="L291">
        <v>301.608</v>
      </c>
      <c r="M291">
        <v>4.26</v>
      </c>
      <c r="N291">
        <v>809</v>
      </c>
      <c r="O291" t="s">
        <v>376</v>
      </c>
      <c r="P291">
        <v>35640</v>
      </c>
    </row>
    <row r="292" spans="1:16" x14ac:dyDescent="0.35">
      <c r="A292">
        <v>9</v>
      </c>
      <c r="B292">
        <v>1905</v>
      </c>
      <c r="C292" t="str">
        <f>IF(book_sales[[#This Row],[Publishing Year]]&lt;1900,"Classic (Before 1900)",IF(book_sales[[#This Row],[Publishing Year]]&lt;2000,"20th Century (1900-1999)","21st Century (2000+)"))</f>
        <v>20th Century (1900-1999)</v>
      </c>
      <c r="D292" t="s">
        <v>44</v>
      </c>
      <c r="E292" t="s">
        <v>45</v>
      </c>
      <c r="F292" t="s">
        <v>23</v>
      </c>
      <c r="G292" t="s">
        <v>24</v>
      </c>
      <c r="H292">
        <v>4.2</v>
      </c>
      <c r="I292">
        <v>199872</v>
      </c>
      <c r="J292" t="s">
        <v>19</v>
      </c>
      <c r="K292">
        <v>23792.34</v>
      </c>
      <c r="L292">
        <v>14275.404</v>
      </c>
      <c r="M292">
        <v>6.49</v>
      </c>
      <c r="N292">
        <v>10</v>
      </c>
      <c r="O292" t="s">
        <v>46</v>
      </c>
      <c r="P292">
        <v>3666</v>
      </c>
    </row>
    <row r="293" spans="1:16" x14ac:dyDescent="0.35">
      <c r="A293">
        <v>266</v>
      </c>
      <c r="B293">
        <v>2008</v>
      </c>
      <c r="C293" t="str">
        <f>IF(book_sales[[#This Row],[Publishing Year]]&lt;1900,"Classic (Before 1900)",IF(book_sales[[#This Row],[Publishing Year]]&lt;2000,"20th Century (1900-1999)","21st Century (2000+)"))</f>
        <v>21st Century (2000+)</v>
      </c>
      <c r="D293" t="s">
        <v>506</v>
      </c>
      <c r="E293" t="s">
        <v>507</v>
      </c>
      <c r="F293" t="s">
        <v>23</v>
      </c>
      <c r="G293" t="s">
        <v>24</v>
      </c>
      <c r="H293">
        <v>4.1500000000000004</v>
      </c>
      <c r="I293">
        <v>106351</v>
      </c>
      <c r="J293" t="s">
        <v>19</v>
      </c>
      <c r="K293">
        <v>1064.44</v>
      </c>
      <c r="L293">
        <v>638.66399999999999</v>
      </c>
      <c r="M293">
        <v>2.99</v>
      </c>
      <c r="N293">
        <v>286</v>
      </c>
      <c r="O293" t="s">
        <v>133</v>
      </c>
      <c r="P293">
        <v>356</v>
      </c>
    </row>
    <row r="294" spans="1:16" x14ac:dyDescent="0.35">
      <c r="A294">
        <v>687</v>
      </c>
      <c r="B294">
        <v>1986</v>
      </c>
      <c r="C294" t="str">
        <f>IF(book_sales[[#This Row],[Publishing Year]]&lt;1900,"Classic (Before 1900)",IF(book_sales[[#This Row],[Publishing Year]]&lt;2000,"20th Century (1900-1999)","21st Century (2000+)"))</f>
        <v>20th Century (1900-1999)</v>
      </c>
      <c r="D294" t="s">
        <v>1222</v>
      </c>
      <c r="E294" t="s">
        <v>1223</v>
      </c>
      <c r="F294" t="s">
        <v>23</v>
      </c>
      <c r="G294" t="s">
        <v>532</v>
      </c>
      <c r="H294">
        <v>4.24</v>
      </c>
      <c r="I294">
        <v>71815</v>
      </c>
      <c r="J294" t="s">
        <v>19</v>
      </c>
      <c r="K294">
        <v>352.82</v>
      </c>
      <c r="L294">
        <v>0</v>
      </c>
      <c r="M294">
        <v>2.99</v>
      </c>
      <c r="N294">
        <v>791</v>
      </c>
      <c r="O294" t="s">
        <v>27</v>
      </c>
      <c r="P294">
        <v>36504</v>
      </c>
    </row>
    <row r="295" spans="1:16" x14ac:dyDescent="0.35">
      <c r="A295">
        <v>574</v>
      </c>
      <c r="B295">
        <v>1969</v>
      </c>
      <c r="C295" t="str">
        <f>IF(book_sales[[#This Row],[Publishing Year]]&lt;1900,"Classic (Before 1900)",IF(book_sales[[#This Row],[Publishing Year]]&lt;2000,"20th Century (1900-1999)","21st Century (2000+)"))</f>
        <v>20th Century (1900-1999)</v>
      </c>
      <c r="D295" t="s">
        <v>1038</v>
      </c>
      <c r="E295" t="s">
        <v>1039</v>
      </c>
      <c r="F295" t="s">
        <v>23</v>
      </c>
      <c r="G295" t="s">
        <v>24</v>
      </c>
      <c r="H295">
        <v>3.86</v>
      </c>
      <c r="I295">
        <v>82580</v>
      </c>
      <c r="J295" t="s">
        <v>19</v>
      </c>
      <c r="K295">
        <v>570.57000000000005</v>
      </c>
      <c r="L295">
        <v>0</v>
      </c>
      <c r="M295">
        <v>3.99</v>
      </c>
      <c r="N295">
        <v>641</v>
      </c>
      <c r="O295" t="s">
        <v>27</v>
      </c>
      <c r="P295">
        <v>3861</v>
      </c>
    </row>
    <row r="296" spans="1:16" x14ac:dyDescent="0.35">
      <c r="A296">
        <v>731</v>
      </c>
      <c r="B296">
        <v>1976</v>
      </c>
      <c r="C296" t="str">
        <f>IF(book_sales[[#This Row],[Publishing Year]]&lt;1900,"Classic (Before 1900)",IF(book_sales[[#This Row],[Publishing Year]]&lt;2000,"20th Century (1900-1999)","21st Century (2000+)"))</f>
        <v>20th Century (1900-1999)</v>
      </c>
      <c r="D296" t="s">
        <v>1290</v>
      </c>
      <c r="E296" t="s">
        <v>1039</v>
      </c>
      <c r="F296" t="s">
        <v>23</v>
      </c>
      <c r="G296" t="s">
        <v>24</v>
      </c>
      <c r="H296">
        <v>3.9</v>
      </c>
      <c r="I296">
        <v>74133</v>
      </c>
      <c r="J296" t="s">
        <v>19</v>
      </c>
      <c r="K296">
        <v>115.83</v>
      </c>
      <c r="L296">
        <v>0</v>
      </c>
      <c r="M296">
        <v>0.99</v>
      </c>
      <c r="N296">
        <v>838</v>
      </c>
      <c r="O296" t="s">
        <v>27</v>
      </c>
      <c r="P296">
        <v>33264</v>
      </c>
    </row>
    <row r="297" spans="1:16" x14ac:dyDescent="0.35">
      <c r="A297">
        <v>1</v>
      </c>
      <c r="B297">
        <v>1987</v>
      </c>
      <c r="C297" t="str">
        <f>IF(book_sales[[#This Row],[Publishing Year]]&lt;1900,"Classic (Before 1900)",IF(book_sales[[#This Row],[Publishing Year]]&lt;2000,"20th Century (1900-1999)","21st Century (2000+)"))</f>
        <v>20th Century (1900-1999)</v>
      </c>
      <c r="D297" t="s">
        <v>21</v>
      </c>
      <c r="E297" t="s">
        <v>22</v>
      </c>
      <c r="F297" t="s">
        <v>23</v>
      </c>
      <c r="G297" t="s">
        <v>24</v>
      </c>
      <c r="H297">
        <v>4.2300000000000004</v>
      </c>
      <c r="I297">
        <v>145267</v>
      </c>
      <c r="J297" t="s">
        <v>19</v>
      </c>
      <c r="K297">
        <v>12437.5</v>
      </c>
      <c r="L297">
        <v>7462.5</v>
      </c>
      <c r="M297">
        <v>1.99</v>
      </c>
      <c r="N297">
        <v>2</v>
      </c>
      <c r="O297" t="s">
        <v>20</v>
      </c>
      <c r="P297">
        <v>6250</v>
      </c>
    </row>
    <row r="298" spans="1:16" x14ac:dyDescent="0.35">
      <c r="A298">
        <v>37</v>
      </c>
      <c r="B298">
        <v>1986</v>
      </c>
      <c r="C298" t="str">
        <f>IF(book_sales[[#This Row],[Publishing Year]]&lt;1900,"Classic (Before 1900)",IF(book_sales[[#This Row],[Publishing Year]]&lt;2000,"20th Century (1900-1999)","21st Century (2000+)"))</f>
        <v>20th Century (1900-1999)</v>
      </c>
      <c r="D298" t="s">
        <v>99</v>
      </c>
      <c r="E298" t="s">
        <v>100</v>
      </c>
      <c r="F298" t="s">
        <v>23</v>
      </c>
      <c r="G298" t="s">
        <v>24</v>
      </c>
      <c r="H298">
        <v>4.25</v>
      </c>
      <c r="I298">
        <v>135979</v>
      </c>
      <c r="J298" t="s">
        <v>19</v>
      </c>
      <c r="K298">
        <v>1949.31</v>
      </c>
      <c r="L298">
        <v>0</v>
      </c>
      <c r="M298">
        <v>0.99</v>
      </c>
      <c r="N298">
        <v>37</v>
      </c>
      <c r="O298" t="s">
        <v>27</v>
      </c>
      <c r="P298">
        <v>1969</v>
      </c>
    </row>
    <row r="299" spans="1:16" x14ac:dyDescent="0.35">
      <c r="A299">
        <v>964</v>
      </c>
      <c r="B299">
        <v>2005</v>
      </c>
      <c r="C299" t="str">
        <f>IF(book_sales[[#This Row],[Publishing Year]]&lt;1900,"Classic (Before 1900)",IF(book_sales[[#This Row],[Publishing Year]]&lt;2000,"20th Century (1900-1999)","21st Century (2000+)"))</f>
        <v>21st Century (2000+)</v>
      </c>
      <c r="D299" t="s">
        <v>1644</v>
      </c>
      <c r="E299" t="s">
        <v>1645</v>
      </c>
      <c r="G299" t="s">
        <v>532</v>
      </c>
      <c r="H299">
        <v>4.01</v>
      </c>
      <c r="I299">
        <v>58841</v>
      </c>
      <c r="J299" t="s">
        <v>41</v>
      </c>
      <c r="K299">
        <v>107.91</v>
      </c>
      <c r="L299">
        <v>0</v>
      </c>
      <c r="M299">
        <v>0.99</v>
      </c>
      <c r="N299">
        <v>1138</v>
      </c>
      <c r="O299" t="s">
        <v>27</v>
      </c>
      <c r="P299">
        <v>4280</v>
      </c>
    </row>
    <row r="300" spans="1:16" x14ac:dyDescent="0.35">
      <c r="A300">
        <v>83</v>
      </c>
      <c r="B300">
        <v>1925</v>
      </c>
      <c r="C300" t="str">
        <f>IF(book_sales[[#This Row],[Publishing Year]]&lt;1900,"Classic (Before 1900)",IF(book_sales[[#This Row],[Publishing Year]]&lt;2000,"20th Century (1900-1999)","21st Century (2000+)"))</f>
        <v>20th Century (1900-1999)</v>
      </c>
      <c r="D300" t="s">
        <v>190</v>
      </c>
      <c r="E300" t="s">
        <v>191</v>
      </c>
      <c r="F300" t="s">
        <v>23</v>
      </c>
      <c r="G300" t="s">
        <v>24</v>
      </c>
      <c r="H300">
        <v>3.98</v>
      </c>
      <c r="I300">
        <v>131856</v>
      </c>
      <c r="J300" t="s">
        <v>19</v>
      </c>
      <c r="K300">
        <v>1202.8499999999999</v>
      </c>
      <c r="L300">
        <v>0</v>
      </c>
      <c r="M300">
        <v>0.99</v>
      </c>
      <c r="N300">
        <v>86</v>
      </c>
      <c r="O300" t="s">
        <v>27</v>
      </c>
      <c r="P300">
        <v>1215</v>
      </c>
    </row>
    <row r="301" spans="1:16" x14ac:dyDescent="0.35">
      <c r="A301">
        <v>962</v>
      </c>
      <c r="B301">
        <v>1956</v>
      </c>
      <c r="C301" t="str">
        <f>IF(book_sales[[#This Row],[Publishing Year]]&lt;1900,"Classic (Before 1900)",IF(book_sales[[#This Row],[Publishing Year]]&lt;2000,"20th Century (1900-1999)","21st Century (2000+)"))</f>
        <v>20th Century (1900-1999)</v>
      </c>
      <c r="D301" t="s">
        <v>1640</v>
      </c>
      <c r="E301" t="s">
        <v>1641</v>
      </c>
      <c r="F301" t="s">
        <v>17</v>
      </c>
      <c r="G301" t="s">
        <v>532</v>
      </c>
      <c r="H301">
        <v>4.0599999999999996</v>
      </c>
      <c r="I301">
        <v>69815</v>
      </c>
      <c r="J301" t="s">
        <v>19</v>
      </c>
      <c r="K301">
        <v>1502.02</v>
      </c>
      <c r="L301">
        <v>901.21199999999999</v>
      </c>
      <c r="M301">
        <v>13.78</v>
      </c>
      <c r="N301">
        <v>1136</v>
      </c>
      <c r="O301" t="s">
        <v>133</v>
      </c>
      <c r="P301">
        <v>4280</v>
      </c>
    </row>
    <row r="302" spans="1:16" x14ac:dyDescent="0.35">
      <c r="A302">
        <v>458</v>
      </c>
      <c r="B302">
        <v>1971</v>
      </c>
      <c r="C302" t="str">
        <f>IF(book_sales[[#This Row],[Publishing Year]]&lt;1900,"Classic (Before 1900)",IF(book_sales[[#This Row],[Publishing Year]]&lt;2000,"20th Century (1900-1999)","21st Century (2000+)"))</f>
        <v>20th Century (1900-1999)</v>
      </c>
      <c r="D302" t="s">
        <v>846</v>
      </c>
      <c r="E302" t="s">
        <v>847</v>
      </c>
      <c r="F302" t="s">
        <v>23</v>
      </c>
      <c r="G302" t="s">
        <v>532</v>
      </c>
      <c r="H302">
        <v>4.25</v>
      </c>
      <c r="I302">
        <v>85883</v>
      </c>
      <c r="J302" t="s">
        <v>19</v>
      </c>
      <c r="K302">
        <v>171.27</v>
      </c>
      <c r="L302">
        <v>0</v>
      </c>
      <c r="M302">
        <v>0.99</v>
      </c>
      <c r="N302">
        <v>508</v>
      </c>
      <c r="O302" t="s">
        <v>27</v>
      </c>
      <c r="P302">
        <v>4671</v>
      </c>
    </row>
    <row r="303" spans="1:16" x14ac:dyDescent="0.35">
      <c r="A303">
        <v>582</v>
      </c>
      <c r="B303">
        <v>1883</v>
      </c>
      <c r="C303" t="str">
        <f>IF(book_sales[[#This Row],[Publishing Year]]&lt;1900,"Classic (Before 1900)",IF(book_sales[[#This Row],[Publishing Year]]&lt;2000,"20th Century (1900-1999)","21st Century (2000+)"))</f>
        <v>Classic (Before 1900)</v>
      </c>
      <c r="D303" t="s">
        <v>1049</v>
      </c>
      <c r="E303" t="s">
        <v>1050</v>
      </c>
      <c r="F303" t="s">
        <v>23</v>
      </c>
      <c r="G303" t="s">
        <v>532</v>
      </c>
      <c r="H303">
        <v>4.05</v>
      </c>
      <c r="I303">
        <v>65362</v>
      </c>
      <c r="J303" t="s">
        <v>19</v>
      </c>
      <c r="K303">
        <v>1030.71</v>
      </c>
      <c r="L303">
        <v>618.42600000000004</v>
      </c>
      <c r="M303">
        <v>7.31</v>
      </c>
      <c r="N303">
        <v>652</v>
      </c>
      <c r="O303" t="s">
        <v>34</v>
      </c>
      <c r="P303">
        <v>59400</v>
      </c>
    </row>
    <row r="304" spans="1:16" x14ac:dyDescent="0.35">
      <c r="A304">
        <v>833</v>
      </c>
      <c r="B304">
        <v>1864</v>
      </c>
      <c r="C304" t="str">
        <f>IF(book_sales[[#This Row],[Publishing Year]]&lt;1900,"Classic (Before 1900)",IF(book_sales[[#This Row],[Publishing Year]]&lt;2000,"20th Century (1900-1999)","21st Century (2000+)"))</f>
        <v>Classic (Before 1900)</v>
      </c>
      <c r="D304" t="s">
        <v>1443</v>
      </c>
      <c r="E304" t="s">
        <v>1444</v>
      </c>
      <c r="F304" t="s">
        <v>23</v>
      </c>
      <c r="G304" t="s">
        <v>532</v>
      </c>
      <c r="H304">
        <v>4.17</v>
      </c>
      <c r="I304">
        <v>65900</v>
      </c>
      <c r="J304" t="s">
        <v>19</v>
      </c>
      <c r="K304">
        <v>910.86</v>
      </c>
      <c r="L304">
        <v>546.51599999999996</v>
      </c>
      <c r="M304">
        <v>7.99</v>
      </c>
      <c r="N304">
        <v>971</v>
      </c>
      <c r="O304" t="s">
        <v>46</v>
      </c>
      <c r="P304">
        <v>2889</v>
      </c>
    </row>
    <row r="305" spans="1:16" x14ac:dyDescent="0.35">
      <c r="A305">
        <v>510</v>
      </c>
      <c r="B305">
        <v>1868</v>
      </c>
      <c r="C305" t="str">
        <f>IF(book_sales[[#This Row],[Publishing Year]]&lt;1900,"Classic (Before 1900)",IF(book_sales[[#This Row],[Publishing Year]]&lt;2000,"20th Century (1900-1999)","21st Century (2000+)"))</f>
        <v>Classic (Before 1900)</v>
      </c>
      <c r="D305" t="s">
        <v>929</v>
      </c>
      <c r="E305" t="s">
        <v>930</v>
      </c>
      <c r="F305" t="s">
        <v>23</v>
      </c>
      <c r="G305" t="s">
        <v>532</v>
      </c>
      <c r="H305">
        <v>4.18</v>
      </c>
      <c r="I305">
        <v>74642</v>
      </c>
      <c r="J305" t="s">
        <v>30</v>
      </c>
      <c r="K305">
        <v>1438.4</v>
      </c>
      <c r="L305">
        <v>863.04</v>
      </c>
      <c r="M305">
        <v>8.99</v>
      </c>
      <c r="N305">
        <v>565</v>
      </c>
      <c r="O305" t="s">
        <v>34</v>
      </c>
      <c r="P305">
        <v>4320</v>
      </c>
    </row>
    <row r="306" spans="1:16" x14ac:dyDescent="0.35">
      <c r="A306">
        <v>708</v>
      </c>
      <c r="B306">
        <v>1981</v>
      </c>
      <c r="C306" t="str">
        <f>IF(book_sales[[#This Row],[Publishing Year]]&lt;1900,"Classic (Before 1900)",IF(book_sales[[#This Row],[Publishing Year]]&lt;2000,"20th Century (1900-1999)","21st Century (2000+)"))</f>
        <v>20th Century (1900-1999)</v>
      </c>
      <c r="D306" t="s">
        <v>1252</v>
      </c>
      <c r="E306" t="s">
        <v>1253</v>
      </c>
      <c r="F306" t="s">
        <v>23</v>
      </c>
      <c r="G306" t="s">
        <v>24</v>
      </c>
      <c r="H306">
        <v>3.95</v>
      </c>
      <c r="I306">
        <v>56200</v>
      </c>
      <c r="J306" t="s">
        <v>19</v>
      </c>
      <c r="K306">
        <v>1128.08</v>
      </c>
      <c r="L306">
        <v>676.84799999999996</v>
      </c>
      <c r="M306">
        <v>9.56</v>
      </c>
      <c r="N306">
        <v>813</v>
      </c>
      <c r="O306" t="s">
        <v>66</v>
      </c>
      <c r="P306">
        <v>35208</v>
      </c>
    </row>
    <row r="307" spans="1:16" x14ac:dyDescent="0.35">
      <c r="A307">
        <v>147</v>
      </c>
      <c r="B307">
        <v>2014</v>
      </c>
      <c r="C307" t="str">
        <f>IF(book_sales[[#This Row],[Publishing Year]]&lt;1900,"Classic (Before 1900)",IF(book_sales[[#This Row],[Publishing Year]]&lt;2000,"20th Century (1900-1999)","21st Century (2000+)"))</f>
        <v>21st Century (2000+)</v>
      </c>
      <c r="D307" t="s">
        <v>302</v>
      </c>
      <c r="E307" t="s">
        <v>303</v>
      </c>
      <c r="F307" t="s">
        <v>23</v>
      </c>
      <c r="G307" t="s">
        <v>24</v>
      </c>
      <c r="H307">
        <v>3.98</v>
      </c>
      <c r="I307">
        <v>115393</v>
      </c>
      <c r="J307" t="s">
        <v>19</v>
      </c>
      <c r="K307">
        <v>5444.75</v>
      </c>
      <c r="L307">
        <v>3266.85</v>
      </c>
      <c r="M307">
        <v>7.51</v>
      </c>
      <c r="N307">
        <v>155</v>
      </c>
      <c r="O307" t="s">
        <v>46</v>
      </c>
      <c r="P307">
        <v>725</v>
      </c>
    </row>
    <row r="308" spans="1:16" x14ac:dyDescent="0.35">
      <c r="A308">
        <v>216</v>
      </c>
      <c r="B308">
        <v>1995</v>
      </c>
      <c r="C308" t="str">
        <f>IF(book_sales[[#This Row],[Publishing Year]]&lt;1900,"Classic (Before 1900)",IF(book_sales[[#This Row],[Publishing Year]]&lt;2000,"20th Century (1900-1999)","21st Century (2000+)"))</f>
        <v>20th Century (1900-1999)</v>
      </c>
      <c r="D308" t="s">
        <v>421</v>
      </c>
      <c r="E308" t="s">
        <v>422</v>
      </c>
      <c r="F308" t="s">
        <v>17</v>
      </c>
      <c r="G308" t="s">
        <v>24</v>
      </c>
      <c r="H308">
        <v>4.17</v>
      </c>
      <c r="I308">
        <v>137047</v>
      </c>
      <c r="J308" t="s">
        <v>19</v>
      </c>
      <c r="K308">
        <v>8811.18</v>
      </c>
      <c r="L308">
        <v>5286.7079999999996</v>
      </c>
      <c r="M308">
        <v>19.98</v>
      </c>
      <c r="N308">
        <v>235</v>
      </c>
      <c r="O308" t="s">
        <v>46</v>
      </c>
      <c r="P308">
        <v>441</v>
      </c>
    </row>
    <row r="309" spans="1:16" x14ac:dyDescent="0.35">
      <c r="A309">
        <v>728</v>
      </c>
      <c r="B309">
        <v>2003</v>
      </c>
      <c r="C309" t="str">
        <f>IF(book_sales[[#This Row],[Publishing Year]]&lt;1900,"Classic (Before 1900)",IF(book_sales[[#This Row],[Publishing Year]]&lt;2000,"20th Century (1900-1999)","21st Century (2000+)"))</f>
        <v>21st Century (2000+)</v>
      </c>
      <c r="D309" t="s">
        <v>1286</v>
      </c>
      <c r="E309" t="s">
        <v>422</v>
      </c>
      <c r="F309" t="s">
        <v>17</v>
      </c>
      <c r="G309" t="s">
        <v>532</v>
      </c>
      <c r="H309">
        <v>4.29</v>
      </c>
      <c r="I309">
        <v>80740</v>
      </c>
      <c r="J309" t="s">
        <v>41</v>
      </c>
      <c r="K309">
        <v>1519.83</v>
      </c>
      <c r="L309">
        <v>911.89800000000002</v>
      </c>
      <c r="M309">
        <v>12.99</v>
      </c>
      <c r="N309">
        <v>836</v>
      </c>
      <c r="O309" t="s">
        <v>27</v>
      </c>
      <c r="P309">
        <v>33696</v>
      </c>
    </row>
    <row r="310" spans="1:16" x14ac:dyDescent="0.35">
      <c r="A310">
        <v>819</v>
      </c>
      <c r="B310">
        <v>2001</v>
      </c>
      <c r="C310" t="str">
        <f>IF(book_sales[[#This Row],[Publishing Year]]&lt;1900,"Classic (Before 1900)",IF(book_sales[[#This Row],[Publishing Year]]&lt;2000,"20th Century (1900-1999)","21st Century (2000+)"))</f>
        <v>21st Century (2000+)</v>
      </c>
      <c r="D310" t="s">
        <v>1428</v>
      </c>
      <c r="E310" t="s">
        <v>422</v>
      </c>
      <c r="F310" t="s">
        <v>17</v>
      </c>
      <c r="G310" t="s">
        <v>532</v>
      </c>
      <c r="H310">
        <v>4.29</v>
      </c>
      <c r="I310">
        <v>78903</v>
      </c>
      <c r="J310" t="s">
        <v>19</v>
      </c>
      <c r="K310">
        <v>876.66</v>
      </c>
      <c r="L310">
        <v>525.99599999999998</v>
      </c>
      <c r="M310">
        <v>7.69</v>
      </c>
      <c r="N310">
        <v>957</v>
      </c>
      <c r="O310" t="s">
        <v>34</v>
      </c>
      <c r="P310">
        <v>2889</v>
      </c>
    </row>
    <row r="311" spans="1:16" x14ac:dyDescent="0.35">
      <c r="A311">
        <v>120</v>
      </c>
      <c r="B311">
        <v>1909</v>
      </c>
      <c r="C311" t="str">
        <f>IF(book_sales[[#This Row],[Publishing Year]]&lt;1900,"Classic (Before 1900)",IF(book_sales[[#This Row],[Publishing Year]]&lt;2000,"20th Century (1900-1999)","21st Century (2000+)"))</f>
        <v>20th Century (1900-1999)</v>
      </c>
      <c r="D311" t="s">
        <v>255</v>
      </c>
      <c r="E311" t="s">
        <v>256</v>
      </c>
      <c r="F311" t="s">
        <v>23</v>
      </c>
      <c r="G311" t="s">
        <v>24</v>
      </c>
      <c r="H311">
        <v>3.97</v>
      </c>
      <c r="I311">
        <v>141110</v>
      </c>
      <c r="J311" t="s">
        <v>19</v>
      </c>
      <c r="K311">
        <v>3531.15</v>
      </c>
      <c r="L311">
        <v>0</v>
      </c>
      <c r="M311">
        <v>3.99</v>
      </c>
      <c r="N311">
        <v>123</v>
      </c>
      <c r="O311" t="s">
        <v>27</v>
      </c>
      <c r="P311">
        <v>885</v>
      </c>
    </row>
    <row r="312" spans="1:16" x14ac:dyDescent="0.35">
      <c r="A312">
        <v>115</v>
      </c>
      <c r="B312">
        <v>1390</v>
      </c>
      <c r="C312" t="str">
        <f>IF(book_sales[[#This Row],[Publishing Year]]&lt;1900,"Classic (Before 1900)",IF(book_sales[[#This Row],[Publishing Year]]&lt;2000,"20th Century (1900-1999)","21st Century (2000+)"))</f>
        <v>Classic (Before 1900)</v>
      </c>
      <c r="D312" t="s">
        <v>245</v>
      </c>
      <c r="E312" t="s">
        <v>246</v>
      </c>
      <c r="F312" t="s">
        <v>23</v>
      </c>
      <c r="G312" t="s">
        <v>18</v>
      </c>
      <c r="H312">
        <v>3.48</v>
      </c>
      <c r="I312">
        <v>148480</v>
      </c>
      <c r="J312" t="s">
        <v>19</v>
      </c>
      <c r="K312">
        <v>891</v>
      </c>
      <c r="L312">
        <v>0</v>
      </c>
      <c r="M312">
        <v>0.99</v>
      </c>
      <c r="N312">
        <v>120</v>
      </c>
      <c r="O312" t="s">
        <v>27</v>
      </c>
      <c r="P312">
        <v>900</v>
      </c>
    </row>
    <row r="313" spans="1:16" x14ac:dyDescent="0.35">
      <c r="A313">
        <v>923</v>
      </c>
      <c r="B313">
        <v>1912</v>
      </c>
      <c r="C313" t="str">
        <f>IF(book_sales[[#This Row],[Publishing Year]]&lt;1900,"Classic (Before 1900)",IF(book_sales[[#This Row],[Publishing Year]]&lt;2000,"20th Century (1900-1999)","21st Century (2000+)"))</f>
        <v>20th Century (1900-1999)</v>
      </c>
      <c r="D313" t="s">
        <v>1578</v>
      </c>
      <c r="E313" t="s">
        <v>1579</v>
      </c>
      <c r="F313" t="s">
        <v>17</v>
      </c>
      <c r="G313" t="s">
        <v>24</v>
      </c>
      <c r="H313">
        <v>3.9</v>
      </c>
      <c r="I313">
        <v>70079</v>
      </c>
      <c r="J313" t="s">
        <v>19</v>
      </c>
      <c r="K313">
        <v>331.89</v>
      </c>
      <c r="L313">
        <v>0</v>
      </c>
      <c r="M313">
        <v>2.99</v>
      </c>
      <c r="N313">
        <v>1082</v>
      </c>
      <c r="O313" t="s">
        <v>27</v>
      </c>
      <c r="P313">
        <v>4360</v>
      </c>
    </row>
    <row r="314" spans="1:16" x14ac:dyDescent="0.35">
      <c r="A314">
        <v>430</v>
      </c>
      <c r="B314">
        <v>1871</v>
      </c>
      <c r="C314" t="str">
        <f>IF(book_sales[[#This Row],[Publishing Year]]&lt;1900,"Classic (Before 1900)",IF(book_sales[[#This Row],[Publishing Year]]&lt;2000,"20th Century (1900-1999)","21st Century (2000+)"))</f>
        <v>Classic (Before 1900)</v>
      </c>
      <c r="D314" t="s">
        <v>801</v>
      </c>
      <c r="E314" t="s">
        <v>802</v>
      </c>
      <c r="F314" t="s">
        <v>23</v>
      </c>
      <c r="G314" t="s">
        <v>24</v>
      </c>
      <c r="H314">
        <v>3.93</v>
      </c>
      <c r="I314">
        <v>95995</v>
      </c>
      <c r="J314" t="s">
        <v>41</v>
      </c>
      <c r="K314">
        <v>186.12</v>
      </c>
      <c r="L314">
        <v>0</v>
      </c>
      <c r="M314">
        <v>0.99</v>
      </c>
      <c r="N314">
        <v>474</v>
      </c>
      <c r="O314" t="s">
        <v>27</v>
      </c>
      <c r="P314">
        <v>5076</v>
      </c>
    </row>
    <row r="315" spans="1:16" x14ac:dyDescent="0.35">
      <c r="A315">
        <v>315</v>
      </c>
      <c r="B315">
        <v>1950</v>
      </c>
      <c r="C315" t="str">
        <f>IF(book_sales[[#This Row],[Publishing Year]]&lt;1900,"Classic (Before 1900)",IF(book_sales[[#This Row],[Publishing Year]]&lt;2000,"20th Century (1900-1999)","21st Century (2000+)"))</f>
        <v>20th Century (1900-1999)</v>
      </c>
      <c r="D315" t="s">
        <v>596</v>
      </c>
      <c r="E315" t="s">
        <v>597</v>
      </c>
      <c r="F315" t="s">
        <v>23</v>
      </c>
      <c r="G315" t="s">
        <v>532</v>
      </c>
      <c r="H315">
        <v>4.26</v>
      </c>
      <c r="I315">
        <v>116197</v>
      </c>
      <c r="J315" t="s">
        <v>19</v>
      </c>
      <c r="K315">
        <v>267.3</v>
      </c>
      <c r="L315">
        <v>0</v>
      </c>
      <c r="M315">
        <v>0.99</v>
      </c>
      <c r="N315">
        <v>338</v>
      </c>
      <c r="O315" t="s">
        <v>27</v>
      </c>
      <c r="P315">
        <v>270</v>
      </c>
    </row>
    <row r="316" spans="1:16" x14ac:dyDescent="0.35">
      <c r="A316">
        <v>965</v>
      </c>
      <c r="B316">
        <v>2000</v>
      </c>
      <c r="C316" t="str">
        <f>IF(book_sales[[#This Row],[Publishing Year]]&lt;1900,"Classic (Before 1900)",IF(book_sales[[#This Row],[Publishing Year]]&lt;2000,"20th Century (1900-1999)","21st Century (2000+)"))</f>
        <v>21st Century (2000+)</v>
      </c>
      <c r="D316" t="s">
        <v>1646</v>
      </c>
      <c r="E316" t="s">
        <v>1647</v>
      </c>
      <c r="F316" t="s">
        <v>23</v>
      </c>
      <c r="G316" t="s">
        <v>53</v>
      </c>
      <c r="H316">
        <v>4.5599999999999996</v>
      </c>
      <c r="I316">
        <v>54977</v>
      </c>
      <c r="J316" t="s">
        <v>19</v>
      </c>
      <c r="K316">
        <v>325.91000000000003</v>
      </c>
      <c r="L316">
        <v>0</v>
      </c>
      <c r="M316">
        <v>2.99</v>
      </c>
      <c r="N316">
        <v>1140</v>
      </c>
      <c r="O316" t="s">
        <v>27</v>
      </c>
      <c r="P316">
        <v>4280</v>
      </c>
    </row>
    <row r="317" spans="1:16" x14ac:dyDescent="0.35">
      <c r="A317">
        <v>370</v>
      </c>
      <c r="B317">
        <v>2001</v>
      </c>
      <c r="C317" t="str">
        <f>IF(book_sales[[#This Row],[Publishing Year]]&lt;1900,"Classic (Before 1900)",IF(book_sales[[#This Row],[Publishing Year]]&lt;2000,"20th Century (1900-1999)","21st Century (2000+)"))</f>
        <v>21st Century (2000+)</v>
      </c>
      <c r="D317" t="s">
        <v>695</v>
      </c>
      <c r="E317" t="s">
        <v>696</v>
      </c>
      <c r="F317" t="s">
        <v>23</v>
      </c>
      <c r="G317" t="s">
        <v>24</v>
      </c>
      <c r="H317">
        <v>4</v>
      </c>
      <c r="I317">
        <v>104283</v>
      </c>
      <c r="J317" t="s">
        <v>19</v>
      </c>
      <c r="K317">
        <v>221.76</v>
      </c>
      <c r="L317">
        <v>0</v>
      </c>
      <c r="M317">
        <v>0.99</v>
      </c>
      <c r="N317">
        <v>401</v>
      </c>
      <c r="O317" t="s">
        <v>27</v>
      </c>
      <c r="P317">
        <v>6048</v>
      </c>
    </row>
    <row r="318" spans="1:16" x14ac:dyDescent="0.35">
      <c r="A318">
        <v>480</v>
      </c>
      <c r="B318">
        <v>2008</v>
      </c>
      <c r="C318" t="str">
        <f>IF(book_sales[[#This Row],[Publishing Year]]&lt;1900,"Classic (Before 1900)",IF(book_sales[[#This Row],[Publishing Year]]&lt;2000,"20th Century (1900-1999)","21st Century (2000+)"))</f>
        <v>21st Century (2000+)</v>
      </c>
      <c r="D318" t="s">
        <v>885</v>
      </c>
      <c r="E318" t="s">
        <v>696</v>
      </c>
      <c r="F318" t="s">
        <v>23</v>
      </c>
      <c r="G318" t="s">
        <v>24</v>
      </c>
      <c r="H318">
        <v>4</v>
      </c>
      <c r="I318">
        <v>95796</v>
      </c>
      <c r="J318" t="s">
        <v>19</v>
      </c>
      <c r="K318">
        <v>1291.92</v>
      </c>
      <c r="L318">
        <v>775.15200000000004</v>
      </c>
      <c r="M318">
        <v>7.69</v>
      </c>
      <c r="N318">
        <v>531</v>
      </c>
      <c r="O318" t="s">
        <v>34</v>
      </c>
      <c r="P318">
        <v>4536</v>
      </c>
    </row>
    <row r="319" spans="1:16" x14ac:dyDescent="0.35">
      <c r="A319">
        <v>774</v>
      </c>
      <c r="B319">
        <v>1942</v>
      </c>
      <c r="C319" t="str">
        <f>IF(book_sales[[#This Row],[Publishing Year]]&lt;1900,"Classic (Before 1900)",IF(book_sales[[#This Row],[Publishing Year]]&lt;2000,"20th Century (1900-1999)","21st Century (2000+)"))</f>
        <v>20th Century (1900-1999)</v>
      </c>
      <c r="D319" t="s">
        <v>1357</v>
      </c>
      <c r="E319" t="s">
        <v>1358</v>
      </c>
      <c r="F319" t="s">
        <v>17</v>
      </c>
      <c r="G319" t="s">
        <v>532</v>
      </c>
      <c r="H319">
        <v>4.09</v>
      </c>
      <c r="I319">
        <v>92916</v>
      </c>
      <c r="J319" t="s">
        <v>19</v>
      </c>
      <c r="K319">
        <v>1506.84</v>
      </c>
      <c r="L319">
        <v>904.10400000000004</v>
      </c>
      <c r="M319">
        <v>12.99</v>
      </c>
      <c r="N319">
        <v>894</v>
      </c>
      <c r="O319" t="s">
        <v>66</v>
      </c>
      <c r="P319">
        <v>28944</v>
      </c>
    </row>
    <row r="320" spans="1:16" x14ac:dyDescent="0.35">
      <c r="A320">
        <v>911</v>
      </c>
      <c r="B320">
        <v>2014</v>
      </c>
      <c r="C320" t="str">
        <f>IF(book_sales[[#This Row],[Publishing Year]]&lt;1900,"Classic (Before 1900)",IF(book_sales[[#This Row],[Publishing Year]]&lt;2000,"20th Century (1900-1999)","21st Century (2000+)"))</f>
        <v>21st Century (2000+)</v>
      </c>
      <c r="D320" t="s">
        <v>1558</v>
      </c>
      <c r="E320" t="s">
        <v>1559</v>
      </c>
      <c r="F320" t="s">
        <v>23</v>
      </c>
      <c r="G320" t="s">
        <v>24</v>
      </c>
      <c r="H320">
        <v>3.56</v>
      </c>
      <c r="I320">
        <v>27308</v>
      </c>
      <c r="J320" t="s">
        <v>19</v>
      </c>
      <c r="K320">
        <v>1225.44</v>
      </c>
      <c r="L320">
        <v>735.26400000000001</v>
      </c>
      <c r="M320">
        <v>11.04</v>
      </c>
      <c r="N320">
        <v>1068</v>
      </c>
      <c r="O320" t="s">
        <v>133</v>
      </c>
      <c r="P320">
        <v>4360</v>
      </c>
    </row>
    <row r="321" spans="1:16" x14ac:dyDescent="0.35">
      <c r="A321">
        <v>192</v>
      </c>
      <c r="B321">
        <v>2003</v>
      </c>
      <c r="C321" t="str">
        <f>IF(book_sales[[#This Row],[Publishing Year]]&lt;1900,"Classic (Before 1900)",IF(book_sales[[#This Row],[Publishing Year]]&lt;2000,"20th Century (1900-1999)","21st Century (2000+)"))</f>
        <v>21st Century (2000+)</v>
      </c>
      <c r="D321" t="s">
        <v>377</v>
      </c>
      <c r="E321" t="s">
        <v>378</v>
      </c>
      <c r="F321" t="s">
        <v>23</v>
      </c>
      <c r="G321" t="s">
        <v>24</v>
      </c>
      <c r="H321">
        <v>4.26</v>
      </c>
      <c r="I321">
        <v>95213</v>
      </c>
      <c r="J321" t="s">
        <v>19</v>
      </c>
      <c r="K321">
        <v>476.19</v>
      </c>
      <c r="L321">
        <v>0</v>
      </c>
      <c r="M321">
        <v>0.99</v>
      </c>
      <c r="N321">
        <v>211</v>
      </c>
      <c r="O321" t="s">
        <v>27</v>
      </c>
      <c r="P321">
        <v>481</v>
      </c>
    </row>
    <row r="322" spans="1:16" x14ac:dyDescent="0.35">
      <c r="A322">
        <v>442</v>
      </c>
      <c r="B322">
        <v>2009</v>
      </c>
      <c r="C322" t="str">
        <f>IF(book_sales[[#This Row],[Publishing Year]]&lt;1900,"Classic (Before 1900)",IF(book_sales[[#This Row],[Publishing Year]]&lt;2000,"20th Century (1900-1999)","21st Century (2000+)"))</f>
        <v>21st Century (2000+)</v>
      </c>
      <c r="D322" t="s">
        <v>819</v>
      </c>
      <c r="E322" t="s">
        <v>820</v>
      </c>
      <c r="F322" t="s">
        <v>23</v>
      </c>
      <c r="G322" t="s">
        <v>24</v>
      </c>
      <c r="H322">
        <v>3.57</v>
      </c>
      <c r="I322">
        <v>94456</v>
      </c>
      <c r="J322" t="s">
        <v>19</v>
      </c>
      <c r="K322">
        <v>177.21</v>
      </c>
      <c r="L322">
        <v>106.32599999999999</v>
      </c>
      <c r="M322">
        <v>0.99</v>
      </c>
      <c r="N322">
        <v>491</v>
      </c>
      <c r="O322" t="s">
        <v>27</v>
      </c>
      <c r="P322">
        <v>4833</v>
      </c>
    </row>
    <row r="323" spans="1:16" x14ac:dyDescent="0.35">
      <c r="A323">
        <v>960</v>
      </c>
      <c r="B323">
        <v>2009</v>
      </c>
      <c r="C323" t="str">
        <f>IF(book_sales[[#This Row],[Publishing Year]]&lt;1900,"Classic (Before 1900)",IF(book_sales[[#This Row],[Publishing Year]]&lt;2000,"20th Century (1900-1999)","21st Century (2000+)"))</f>
        <v>21st Century (2000+)</v>
      </c>
      <c r="D323" t="s">
        <v>1636</v>
      </c>
      <c r="E323" t="s">
        <v>1637</v>
      </c>
      <c r="F323" t="s">
        <v>17</v>
      </c>
      <c r="G323" t="s">
        <v>24</v>
      </c>
      <c r="H323">
        <v>3.77</v>
      </c>
      <c r="I323">
        <v>58631</v>
      </c>
      <c r="J323" t="s">
        <v>19</v>
      </c>
      <c r="K323">
        <v>107.91</v>
      </c>
      <c r="L323">
        <v>64.745999999999995</v>
      </c>
      <c r="M323">
        <v>0.99</v>
      </c>
      <c r="N323">
        <v>1132</v>
      </c>
      <c r="O323" t="s">
        <v>27</v>
      </c>
      <c r="P323">
        <v>4280</v>
      </c>
    </row>
    <row r="324" spans="1:16" x14ac:dyDescent="0.35">
      <c r="A324">
        <v>29</v>
      </c>
      <c r="B324">
        <v>1856</v>
      </c>
      <c r="C324" t="str">
        <f>IF(book_sales[[#This Row],[Publishing Year]]&lt;1900,"Classic (Before 1900)",IF(book_sales[[#This Row],[Publishing Year]]&lt;2000,"20th Century (1900-1999)","21st Century (2000+)"))</f>
        <v>Classic (Before 1900)</v>
      </c>
      <c r="D324" t="s">
        <v>85</v>
      </c>
      <c r="E324" t="s">
        <v>86</v>
      </c>
      <c r="F324" t="s">
        <v>23</v>
      </c>
      <c r="G324" t="s">
        <v>24</v>
      </c>
      <c r="H324">
        <v>3.64</v>
      </c>
      <c r="I324">
        <v>158877</v>
      </c>
      <c r="J324" t="s">
        <v>19</v>
      </c>
      <c r="K324">
        <v>9308.67</v>
      </c>
      <c r="L324">
        <v>0</v>
      </c>
      <c r="M324">
        <v>3.99</v>
      </c>
      <c r="N324">
        <v>30</v>
      </c>
      <c r="O324" t="s">
        <v>27</v>
      </c>
      <c r="P324">
        <v>2333</v>
      </c>
    </row>
    <row r="325" spans="1:16" x14ac:dyDescent="0.35">
      <c r="A325">
        <v>345</v>
      </c>
      <c r="B325">
        <v>1941</v>
      </c>
      <c r="C325" t="str">
        <f>IF(book_sales[[#This Row],[Publishing Year]]&lt;1900,"Classic (Before 1900)",IF(book_sales[[#This Row],[Publishing Year]]&lt;2000,"20th Century (1900-1999)","21st Century (2000+)"))</f>
        <v>20th Century (1900-1999)</v>
      </c>
      <c r="D325" t="s">
        <v>653</v>
      </c>
      <c r="E325" t="s">
        <v>654</v>
      </c>
      <c r="F325" t="s">
        <v>144</v>
      </c>
      <c r="G325" t="s">
        <v>532</v>
      </c>
      <c r="H325">
        <v>4.13</v>
      </c>
      <c r="I325">
        <v>105473</v>
      </c>
      <c r="J325" t="s">
        <v>19</v>
      </c>
      <c r="K325">
        <v>236.61</v>
      </c>
      <c r="L325">
        <v>141.96600000000001</v>
      </c>
      <c r="M325">
        <v>0.99</v>
      </c>
      <c r="N325">
        <v>371</v>
      </c>
      <c r="O325" t="s">
        <v>27</v>
      </c>
      <c r="P325">
        <v>239</v>
      </c>
    </row>
    <row r="326" spans="1:16" x14ac:dyDescent="0.35">
      <c r="A326">
        <v>673</v>
      </c>
      <c r="B326">
        <v>1897</v>
      </c>
      <c r="C326" t="str">
        <f>IF(book_sales[[#This Row],[Publishing Year]]&lt;1900,"Classic (Before 1900)",IF(book_sales[[#This Row],[Publishing Year]]&lt;2000,"20th Century (1900-1999)","21st Century (2000+)"))</f>
        <v>Classic (Before 1900)</v>
      </c>
      <c r="D326" t="s">
        <v>1199</v>
      </c>
      <c r="E326" t="s">
        <v>1200</v>
      </c>
      <c r="F326" t="s">
        <v>23</v>
      </c>
      <c r="G326" t="s">
        <v>24</v>
      </c>
      <c r="H326">
        <v>3.62</v>
      </c>
      <c r="I326">
        <v>84778</v>
      </c>
      <c r="J326" t="s">
        <v>19</v>
      </c>
      <c r="K326">
        <v>117.81</v>
      </c>
      <c r="L326">
        <v>70.686000000000007</v>
      </c>
      <c r="M326">
        <v>0.99</v>
      </c>
      <c r="N326">
        <v>772</v>
      </c>
      <c r="O326" t="s">
        <v>133</v>
      </c>
      <c r="P326">
        <v>38016</v>
      </c>
    </row>
    <row r="327" spans="1:16" x14ac:dyDescent="0.35">
      <c r="A327">
        <v>1024</v>
      </c>
      <c r="B327">
        <v>1896</v>
      </c>
      <c r="C327" t="str">
        <f>IF(book_sales[[#This Row],[Publishing Year]]&lt;1900,"Classic (Before 1900)",IF(book_sales[[#This Row],[Publishing Year]]&lt;2000,"20th Century (1900-1999)","21st Century (2000+)"))</f>
        <v>Classic (Before 1900)</v>
      </c>
      <c r="D327" t="s">
        <v>1734</v>
      </c>
      <c r="E327" t="s">
        <v>1200</v>
      </c>
      <c r="F327" t="s">
        <v>23</v>
      </c>
      <c r="G327" t="s">
        <v>24</v>
      </c>
      <c r="H327">
        <v>3.72</v>
      </c>
      <c r="I327">
        <v>60346</v>
      </c>
      <c r="J327" t="s">
        <v>19</v>
      </c>
      <c r="K327">
        <v>640.92999999999995</v>
      </c>
      <c r="L327">
        <v>0</v>
      </c>
      <c r="M327">
        <v>5.99</v>
      </c>
      <c r="N327">
        <v>1212</v>
      </c>
      <c r="O327" t="s">
        <v>27</v>
      </c>
      <c r="P327">
        <v>107</v>
      </c>
    </row>
    <row r="328" spans="1:16" x14ac:dyDescent="0.35">
      <c r="A328">
        <v>16</v>
      </c>
      <c r="B328">
        <v>1897</v>
      </c>
      <c r="C328" t="str">
        <f>IF(book_sales[[#This Row],[Publishing Year]]&lt;1900,"Classic (Before 1900)",IF(book_sales[[#This Row],[Publishing Year]]&lt;2000,"20th Century (1900-1999)","21st Century (2000+)"))</f>
        <v>Classic (Before 1900)</v>
      </c>
      <c r="D328" t="s">
        <v>60</v>
      </c>
      <c r="E328" t="s">
        <v>61</v>
      </c>
      <c r="F328" t="s">
        <v>23</v>
      </c>
      <c r="G328" t="s">
        <v>24</v>
      </c>
      <c r="H328">
        <v>3.8</v>
      </c>
      <c r="I328">
        <v>159752</v>
      </c>
      <c r="J328" t="s">
        <v>19</v>
      </c>
      <c r="K328">
        <v>15968</v>
      </c>
      <c r="L328">
        <v>0</v>
      </c>
      <c r="M328">
        <v>4.99</v>
      </c>
      <c r="N328">
        <v>17</v>
      </c>
      <c r="O328" t="s">
        <v>27</v>
      </c>
      <c r="P328">
        <v>3200</v>
      </c>
    </row>
    <row r="329" spans="1:16" x14ac:dyDescent="0.35">
      <c r="A329">
        <v>652</v>
      </c>
      <c r="B329">
        <v>2010</v>
      </c>
      <c r="C329" t="str">
        <f>IF(book_sales[[#This Row],[Publishing Year]]&lt;1900,"Classic (Before 1900)",IF(book_sales[[#This Row],[Publishing Year]]&lt;2000,"20th Century (1900-1999)","21st Century (2000+)"))</f>
        <v>21st Century (2000+)</v>
      </c>
      <c r="D329" t="s">
        <v>1161</v>
      </c>
      <c r="E329" t="s">
        <v>1162</v>
      </c>
      <c r="F329" t="s">
        <v>23</v>
      </c>
      <c r="G329" t="s">
        <v>53</v>
      </c>
      <c r="H329">
        <v>4.42</v>
      </c>
      <c r="I329">
        <v>82565</v>
      </c>
      <c r="J329" t="s">
        <v>19</v>
      </c>
      <c r="K329">
        <v>118.8</v>
      </c>
      <c r="L329">
        <v>71.28</v>
      </c>
      <c r="M329">
        <v>0.99</v>
      </c>
      <c r="N329">
        <v>748</v>
      </c>
      <c r="O329" t="s">
        <v>27</v>
      </c>
      <c r="P329">
        <v>42552</v>
      </c>
    </row>
    <row r="330" spans="1:16" x14ac:dyDescent="0.35">
      <c r="A330">
        <v>577</v>
      </c>
      <c r="B330">
        <v>1835</v>
      </c>
      <c r="C330" t="str">
        <f>IF(book_sales[[#This Row],[Publishing Year]]&lt;1900,"Classic (Before 1900)",IF(book_sales[[#This Row],[Publishing Year]]&lt;2000,"20th Century (1900-1999)","21st Century (2000+)"))</f>
        <v>Classic (Before 1900)</v>
      </c>
      <c r="D330" t="s">
        <v>1043</v>
      </c>
      <c r="E330" t="s">
        <v>1044</v>
      </c>
      <c r="F330" t="s">
        <v>23</v>
      </c>
      <c r="G330" t="s">
        <v>532</v>
      </c>
      <c r="H330">
        <v>4.28</v>
      </c>
      <c r="I330">
        <v>90999</v>
      </c>
      <c r="J330" t="s">
        <v>19</v>
      </c>
      <c r="K330">
        <v>708.58</v>
      </c>
      <c r="L330">
        <v>0</v>
      </c>
      <c r="M330">
        <v>4.99</v>
      </c>
      <c r="N330">
        <v>646</v>
      </c>
      <c r="O330" t="s">
        <v>27</v>
      </c>
      <c r="P330">
        <v>3834</v>
      </c>
    </row>
    <row r="331" spans="1:16" x14ac:dyDescent="0.35">
      <c r="A331">
        <v>667</v>
      </c>
      <c r="B331">
        <v>2015</v>
      </c>
      <c r="C331" t="str">
        <f>IF(book_sales[[#This Row],[Publishing Year]]&lt;1900,"Classic (Before 1900)",IF(book_sales[[#This Row],[Publishing Year]]&lt;2000,"20th Century (1900-1999)","21st Century (2000+)"))</f>
        <v>21st Century (2000+)</v>
      </c>
      <c r="D331" t="s">
        <v>1189</v>
      </c>
      <c r="E331" t="s">
        <v>1190</v>
      </c>
      <c r="F331" t="s">
        <v>23</v>
      </c>
      <c r="G331" t="s">
        <v>532</v>
      </c>
      <c r="H331">
        <v>4.2699999999999996</v>
      </c>
      <c r="I331">
        <v>66782</v>
      </c>
      <c r="J331" t="s">
        <v>19</v>
      </c>
      <c r="K331">
        <v>355.81</v>
      </c>
      <c r="L331">
        <v>213.48599999999999</v>
      </c>
      <c r="M331">
        <v>2.99</v>
      </c>
      <c r="N331">
        <v>766</v>
      </c>
      <c r="O331" t="s">
        <v>27</v>
      </c>
      <c r="P331">
        <v>38664</v>
      </c>
    </row>
    <row r="332" spans="1:16" x14ac:dyDescent="0.35">
      <c r="A332">
        <v>607</v>
      </c>
      <c r="B332">
        <v>2001</v>
      </c>
      <c r="C332" t="str">
        <f>IF(book_sales[[#This Row],[Publishing Year]]&lt;1900,"Classic (Before 1900)",IF(book_sales[[#This Row],[Publishing Year]]&lt;2000,"20th Century (1900-1999)","21st Century (2000+)"))</f>
        <v>21st Century (2000+)</v>
      </c>
      <c r="D332" t="s">
        <v>1088</v>
      </c>
      <c r="E332" t="s">
        <v>1089</v>
      </c>
      <c r="F332" t="s">
        <v>23</v>
      </c>
      <c r="G332" t="s">
        <v>532</v>
      </c>
      <c r="H332">
        <v>4.1100000000000003</v>
      </c>
      <c r="I332">
        <v>78070</v>
      </c>
      <c r="J332" t="s">
        <v>19</v>
      </c>
      <c r="K332">
        <v>394.68</v>
      </c>
      <c r="L332">
        <v>236.80799999999999</v>
      </c>
      <c r="M332">
        <v>2.99</v>
      </c>
      <c r="N332">
        <v>693</v>
      </c>
      <c r="O332" t="s">
        <v>27</v>
      </c>
      <c r="P332">
        <v>50976</v>
      </c>
    </row>
    <row r="333" spans="1:16" x14ac:dyDescent="0.35">
      <c r="A333">
        <v>2</v>
      </c>
      <c r="B333">
        <v>2015</v>
      </c>
      <c r="C333" t="str">
        <f>IF(book_sales[[#This Row],[Publishing Year]]&lt;1900,"Classic (Before 1900)",IF(book_sales[[#This Row],[Publishing Year]]&lt;2000,"20th Century (1900-1999)","21st Century (2000+)"))</f>
        <v>21st Century (2000+)</v>
      </c>
      <c r="D333" t="s">
        <v>25</v>
      </c>
      <c r="E333" t="s">
        <v>26</v>
      </c>
      <c r="F333" t="s">
        <v>23</v>
      </c>
      <c r="G333" t="s">
        <v>18</v>
      </c>
      <c r="H333">
        <v>3.31</v>
      </c>
      <c r="I333">
        <v>138669</v>
      </c>
      <c r="J333" t="s">
        <v>19</v>
      </c>
      <c r="K333">
        <v>47795</v>
      </c>
      <c r="L333">
        <v>28677</v>
      </c>
      <c r="M333">
        <v>8.69</v>
      </c>
      <c r="N333">
        <v>3</v>
      </c>
      <c r="O333" t="s">
        <v>27</v>
      </c>
      <c r="P333">
        <v>5500</v>
      </c>
    </row>
    <row r="334" spans="1:16" x14ac:dyDescent="0.35">
      <c r="A334">
        <v>119</v>
      </c>
      <c r="B334">
        <v>1852</v>
      </c>
      <c r="C334" t="str">
        <f>IF(book_sales[[#This Row],[Publishing Year]]&lt;1900,"Classic (Before 1900)",IF(book_sales[[#This Row],[Publishing Year]]&lt;2000,"20th Century (1900-1999)","21st Century (2000+)"))</f>
        <v>Classic (Before 1900)</v>
      </c>
      <c r="D334" t="s">
        <v>253</v>
      </c>
      <c r="E334" t="s">
        <v>254</v>
      </c>
      <c r="F334" t="s">
        <v>23</v>
      </c>
      <c r="G334" t="s">
        <v>24</v>
      </c>
      <c r="H334">
        <v>3.83</v>
      </c>
      <c r="I334">
        <v>137858</v>
      </c>
      <c r="J334" t="s">
        <v>30</v>
      </c>
      <c r="K334">
        <v>1771.1</v>
      </c>
      <c r="L334">
        <v>1062.6600000000001</v>
      </c>
      <c r="M334">
        <v>1.99</v>
      </c>
      <c r="N334">
        <v>122</v>
      </c>
      <c r="O334" t="s">
        <v>20</v>
      </c>
      <c r="P334">
        <v>890</v>
      </c>
    </row>
    <row r="335" spans="1:16" x14ac:dyDescent="0.35">
      <c r="A335">
        <v>756</v>
      </c>
      <c r="B335">
        <v>1977</v>
      </c>
      <c r="C335" t="str">
        <f>IF(book_sales[[#This Row],[Publishing Year]]&lt;1900,"Classic (Before 1900)",IF(book_sales[[#This Row],[Publishing Year]]&lt;2000,"20th Century (1900-1999)","21st Century (2000+)"))</f>
        <v>20th Century (1900-1999)</v>
      </c>
      <c r="D335" t="s">
        <v>1330</v>
      </c>
      <c r="E335" t="s">
        <v>1331</v>
      </c>
      <c r="F335" t="s">
        <v>23</v>
      </c>
      <c r="G335" t="s">
        <v>532</v>
      </c>
      <c r="H335">
        <v>4.26</v>
      </c>
      <c r="I335">
        <v>77206</v>
      </c>
      <c r="J335" t="s">
        <v>19</v>
      </c>
      <c r="K335">
        <v>1158.8399999999999</v>
      </c>
      <c r="L335">
        <v>695.30399999999997</v>
      </c>
      <c r="M335">
        <v>9.99</v>
      </c>
      <c r="N335">
        <v>871</v>
      </c>
      <c r="O335" t="s">
        <v>34</v>
      </c>
      <c r="P335">
        <v>31320</v>
      </c>
    </row>
    <row r="336" spans="1:16" x14ac:dyDescent="0.35">
      <c r="A336">
        <v>674</v>
      </c>
      <c r="B336">
        <v>1985</v>
      </c>
      <c r="C336" t="str">
        <f>IF(book_sales[[#This Row],[Publishing Year]]&lt;1900,"Classic (Before 1900)",IF(book_sales[[#This Row],[Publishing Year]]&lt;2000,"20th Century (1900-1999)","21st Century (2000+)"))</f>
        <v>20th Century (1900-1999)</v>
      </c>
      <c r="D336" t="s">
        <v>1201</v>
      </c>
      <c r="E336" t="s">
        <v>1202</v>
      </c>
      <c r="F336" t="s">
        <v>23</v>
      </c>
      <c r="G336" t="s">
        <v>532</v>
      </c>
      <c r="H336">
        <v>4.1500000000000004</v>
      </c>
      <c r="I336">
        <v>63764</v>
      </c>
      <c r="J336" t="s">
        <v>19</v>
      </c>
      <c r="K336">
        <v>117.81</v>
      </c>
      <c r="L336">
        <v>70.686000000000007</v>
      </c>
      <c r="M336">
        <v>0.99</v>
      </c>
      <c r="N336">
        <v>773</v>
      </c>
      <c r="O336" t="s">
        <v>27</v>
      </c>
      <c r="P336">
        <v>38016</v>
      </c>
    </row>
    <row r="337" spans="1:16" x14ac:dyDescent="0.35">
      <c r="A337">
        <v>969</v>
      </c>
      <c r="B337">
        <v>1982</v>
      </c>
      <c r="C337" t="str">
        <f>IF(book_sales[[#This Row],[Publishing Year]]&lt;1900,"Classic (Before 1900)",IF(book_sales[[#This Row],[Publishing Year]]&lt;2000,"20th Century (1900-1999)","21st Century (2000+)"))</f>
        <v>20th Century (1900-1999)</v>
      </c>
      <c r="D337" t="s">
        <v>1651</v>
      </c>
      <c r="E337" t="s">
        <v>1202</v>
      </c>
      <c r="F337" t="s">
        <v>23</v>
      </c>
      <c r="G337" t="s">
        <v>24</v>
      </c>
      <c r="H337">
        <v>3.94</v>
      </c>
      <c r="I337">
        <v>55262</v>
      </c>
      <c r="J337" t="s">
        <v>41</v>
      </c>
      <c r="K337">
        <v>960.29</v>
      </c>
      <c r="L337">
        <v>576.17399999999998</v>
      </c>
      <c r="M337">
        <v>8.81</v>
      </c>
      <c r="N337">
        <v>1147</v>
      </c>
      <c r="O337" t="s">
        <v>66</v>
      </c>
      <c r="P337">
        <v>4240</v>
      </c>
    </row>
    <row r="338" spans="1:16" x14ac:dyDescent="0.35">
      <c r="A338">
        <v>751</v>
      </c>
      <c r="B338">
        <v>2004</v>
      </c>
      <c r="C338" t="str">
        <f>IF(book_sales[[#This Row],[Publishing Year]]&lt;1900,"Classic (Before 1900)",IF(book_sales[[#This Row],[Publishing Year]]&lt;2000,"20th Century (1900-1999)","21st Century (2000+)"))</f>
        <v>21st Century (2000+)</v>
      </c>
      <c r="D338" t="s">
        <v>1321</v>
      </c>
      <c r="E338" t="s">
        <v>1322</v>
      </c>
      <c r="F338" t="s">
        <v>23</v>
      </c>
      <c r="G338" t="s">
        <v>24</v>
      </c>
      <c r="H338">
        <v>3.68</v>
      </c>
      <c r="I338">
        <v>64278</v>
      </c>
      <c r="J338" t="s">
        <v>19</v>
      </c>
      <c r="K338">
        <v>694.84</v>
      </c>
      <c r="L338">
        <v>0</v>
      </c>
      <c r="M338">
        <v>5.99</v>
      </c>
      <c r="N338">
        <v>866</v>
      </c>
      <c r="O338" t="s">
        <v>27</v>
      </c>
      <c r="P338">
        <v>31536</v>
      </c>
    </row>
    <row r="339" spans="1:16" x14ac:dyDescent="0.35">
      <c r="A339">
        <v>118</v>
      </c>
      <c r="B339">
        <v>2009</v>
      </c>
      <c r="C339" t="str">
        <f>IF(book_sales[[#This Row],[Publishing Year]]&lt;1900,"Classic (Before 1900)",IF(book_sales[[#This Row],[Publishing Year]]&lt;2000,"20th Century (1900-1999)","21st Century (2000+)"))</f>
        <v>21st Century (2000+)</v>
      </c>
      <c r="D339" t="s">
        <v>251</v>
      </c>
      <c r="E339" t="s">
        <v>252</v>
      </c>
      <c r="F339" t="s">
        <v>23</v>
      </c>
      <c r="G339" t="s">
        <v>24</v>
      </c>
      <c r="H339">
        <v>3.89</v>
      </c>
      <c r="I339">
        <v>125195</v>
      </c>
      <c r="J339" t="s">
        <v>19</v>
      </c>
      <c r="K339">
        <v>2661.1</v>
      </c>
      <c r="L339">
        <v>0</v>
      </c>
      <c r="M339">
        <v>2.99</v>
      </c>
      <c r="N339">
        <v>122</v>
      </c>
      <c r="O339" t="s">
        <v>27</v>
      </c>
      <c r="P339">
        <v>890</v>
      </c>
    </row>
    <row r="340" spans="1:16" x14ac:dyDescent="0.35">
      <c r="A340">
        <v>551</v>
      </c>
      <c r="B340">
        <v>2013</v>
      </c>
      <c r="C340" t="str">
        <f>IF(book_sales[[#This Row],[Publishing Year]]&lt;1900,"Classic (Before 1900)",IF(book_sales[[#This Row],[Publishing Year]]&lt;2000,"20th Century (1900-1999)","21st Century (2000+)"))</f>
        <v>21st Century (2000+)</v>
      </c>
      <c r="D340" t="s">
        <v>998</v>
      </c>
      <c r="E340" t="s">
        <v>999</v>
      </c>
      <c r="F340" t="s">
        <v>23</v>
      </c>
      <c r="G340" t="s">
        <v>24</v>
      </c>
      <c r="H340">
        <v>3.82</v>
      </c>
      <c r="I340">
        <v>67873</v>
      </c>
      <c r="J340" t="s">
        <v>30</v>
      </c>
      <c r="K340">
        <v>594.51</v>
      </c>
      <c r="L340">
        <v>0</v>
      </c>
      <c r="M340">
        <v>3.99</v>
      </c>
      <c r="N340">
        <v>616</v>
      </c>
      <c r="O340" t="s">
        <v>27</v>
      </c>
      <c r="P340">
        <v>4023</v>
      </c>
    </row>
    <row r="341" spans="1:16" x14ac:dyDescent="0.35">
      <c r="A341">
        <v>739</v>
      </c>
      <c r="B341">
        <v>1999</v>
      </c>
      <c r="C341" t="str">
        <f>IF(book_sales[[#This Row],[Publishing Year]]&lt;1900,"Classic (Before 1900)",IF(book_sales[[#This Row],[Publishing Year]]&lt;2000,"20th Century (1900-1999)","21st Century (2000+)"))</f>
        <v>20th Century (1900-1999)</v>
      </c>
      <c r="D341" t="s">
        <v>1302</v>
      </c>
      <c r="E341" t="s">
        <v>999</v>
      </c>
      <c r="F341" t="s">
        <v>23</v>
      </c>
      <c r="G341" t="s">
        <v>24</v>
      </c>
      <c r="H341">
        <v>3.82</v>
      </c>
      <c r="I341">
        <v>62229</v>
      </c>
      <c r="J341" t="s">
        <v>19</v>
      </c>
      <c r="K341">
        <v>1084.5899999999999</v>
      </c>
      <c r="L341">
        <v>650.75400000000002</v>
      </c>
      <c r="M341">
        <v>9.27</v>
      </c>
      <c r="N341">
        <v>846</v>
      </c>
      <c r="O341" t="s">
        <v>34</v>
      </c>
      <c r="P341">
        <v>32616</v>
      </c>
    </row>
    <row r="342" spans="1:16" x14ac:dyDescent="0.35">
      <c r="A342">
        <v>926</v>
      </c>
      <c r="B342">
        <v>1999</v>
      </c>
      <c r="C342" t="str">
        <f>IF(book_sales[[#This Row],[Publishing Year]]&lt;1900,"Classic (Before 1900)",IF(book_sales[[#This Row],[Publishing Year]]&lt;2000,"20th Century (1900-1999)","21st Century (2000+)"))</f>
        <v>20th Century (1900-1999)</v>
      </c>
      <c r="D342" t="s">
        <v>1582</v>
      </c>
      <c r="E342" t="s">
        <v>1583</v>
      </c>
      <c r="F342" t="s">
        <v>23</v>
      </c>
      <c r="G342" t="s">
        <v>24</v>
      </c>
      <c r="H342">
        <v>3.53</v>
      </c>
      <c r="I342">
        <v>73093</v>
      </c>
      <c r="J342" t="s">
        <v>41</v>
      </c>
      <c r="K342">
        <v>1098.9000000000001</v>
      </c>
      <c r="L342">
        <v>659.34</v>
      </c>
      <c r="M342">
        <v>9.99</v>
      </c>
      <c r="N342">
        <v>1090</v>
      </c>
      <c r="O342" t="s">
        <v>27</v>
      </c>
      <c r="P342">
        <v>4360</v>
      </c>
    </row>
    <row r="343" spans="1:16" x14ac:dyDescent="0.35">
      <c r="A343">
        <v>269</v>
      </c>
      <c r="B343">
        <v>1902</v>
      </c>
      <c r="C343" t="str">
        <f>IF(book_sales[[#This Row],[Publishing Year]]&lt;1900,"Classic (Before 1900)",IF(book_sales[[#This Row],[Publishing Year]]&lt;2000,"20th Century (1900-1999)","21st Century (2000+)"))</f>
        <v>20th Century (1900-1999)</v>
      </c>
      <c r="D343" t="s">
        <v>512</v>
      </c>
      <c r="E343" t="s">
        <v>513</v>
      </c>
      <c r="F343" t="s">
        <v>23</v>
      </c>
      <c r="G343" t="s">
        <v>24</v>
      </c>
      <c r="H343">
        <v>4.07</v>
      </c>
      <c r="I343">
        <v>107313</v>
      </c>
      <c r="J343" t="s">
        <v>41</v>
      </c>
      <c r="K343">
        <v>347.49</v>
      </c>
      <c r="L343">
        <v>208.494</v>
      </c>
      <c r="M343">
        <v>0.99</v>
      </c>
      <c r="N343">
        <v>289</v>
      </c>
      <c r="O343" t="s">
        <v>27</v>
      </c>
      <c r="P343">
        <v>351</v>
      </c>
    </row>
    <row r="344" spans="1:16" x14ac:dyDescent="0.35">
      <c r="A344">
        <v>375</v>
      </c>
      <c r="B344">
        <v>2010</v>
      </c>
      <c r="C344" t="str">
        <f>IF(book_sales[[#This Row],[Publishing Year]]&lt;1900,"Classic (Before 1900)",IF(book_sales[[#This Row],[Publishing Year]]&lt;2000,"20th Century (1900-1999)","21st Century (2000+)"))</f>
        <v>21st Century (2000+)</v>
      </c>
      <c r="D344" t="s">
        <v>705</v>
      </c>
      <c r="E344" t="s">
        <v>706</v>
      </c>
      <c r="F344" t="s">
        <v>23</v>
      </c>
      <c r="G344" t="s">
        <v>24</v>
      </c>
      <c r="H344">
        <v>3.87</v>
      </c>
      <c r="I344">
        <v>97745</v>
      </c>
      <c r="J344" t="s">
        <v>19</v>
      </c>
      <c r="K344">
        <v>660.79</v>
      </c>
      <c r="L344">
        <v>396.47399999999999</v>
      </c>
      <c r="M344">
        <v>2.99</v>
      </c>
      <c r="N344">
        <v>408</v>
      </c>
      <c r="O344" t="s">
        <v>66</v>
      </c>
      <c r="P344">
        <v>5967</v>
      </c>
    </row>
    <row r="345" spans="1:16" x14ac:dyDescent="0.35">
      <c r="A345">
        <v>943</v>
      </c>
      <c r="B345">
        <v>2013</v>
      </c>
      <c r="C345" t="str">
        <f>IF(book_sales[[#This Row],[Publishing Year]]&lt;1900,"Classic (Before 1900)",IF(book_sales[[#This Row],[Publishing Year]]&lt;2000,"20th Century (1900-1999)","21st Century (2000+)"))</f>
        <v>21st Century (2000+)</v>
      </c>
      <c r="D345" t="s">
        <v>1610</v>
      </c>
      <c r="E345" t="s">
        <v>1611</v>
      </c>
      <c r="F345" t="s">
        <v>23</v>
      </c>
      <c r="G345" t="s">
        <v>532</v>
      </c>
      <c r="H345">
        <v>4.0999999999999996</v>
      </c>
      <c r="I345">
        <v>59650</v>
      </c>
      <c r="J345" t="s">
        <v>19</v>
      </c>
      <c r="K345">
        <v>438.9</v>
      </c>
      <c r="L345">
        <v>0</v>
      </c>
      <c r="M345">
        <v>3.99</v>
      </c>
      <c r="N345">
        <v>1107</v>
      </c>
      <c r="O345" t="s">
        <v>27</v>
      </c>
      <c r="P345">
        <v>4320</v>
      </c>
    </row>
    <row r="346" spans="1:16" x14ac:dyDescent="0.35">
      <c r="A346">
        <v>1049</v>
      </c>
      <c r="B346">
        <v>1879</v>
      </c>
      <c r="C346" t="str">
        <f>IF(book_sales[[#This Row],[Publishing Year]]&lt;1900,"Classic (Before 1900)",IF(book_sales[[#This Row],[Publishing Year]]&lt;2000,"20th Century (1900-1999)","21st Century (2000+)"))</f>
        <v>Classic (Before 1900)</v>
      </c>
      <c r="D346" t="s">
        <v>1772</v>
      </c>
      <c r="E346" t="s">
        <v>1773</v>
      </c>
      <c r="F346" t="s">
        <v>23</v>
      </c>
      <c r="G346" t="s">
        <v>24</v>
      </c>
      <c r="H346">
        <v>3.69</v>
      </c>
      <c r="I346">
        <v>69450</v>
      </c>
      <c r="J346" t="s">
        <v>19</v>
      </c>
      <c r="K346">
        <v>1588.94</v>
      </c>
      <c r="L346">
        <v>953.36400000000003</v>
      </c>
      <c r="M346">
        <v>14.99</v>
      </c>
      <c r="N346">
        <v>1243</v>
      </c>
      <c r="O346" t="s">
        <v>31</v>
      </c>
      <c r="P346">
        <v>106</v>
      </c>
    </row>
    <row r="347" spans="1:16" x14ac:dyDescent="0.35">
      <c r="A347">
        <v>288</v>
      </c>
      <c r="B347">
        <v>1854</v>
      </c>
      <c r="C347" t="str">
        <f>IF(book_sales[[#This Row],[Publishing Year]]&lt;1900,"Classic (Before 1900)",IF(book_sales[[#This Row],[Publishing Year]]&lt;2000,"20th Century (1900-1999)","21st Century (2000+)"))</f>
        <v>Classic (Before 1900)</v>
      </c>
      <c r="D347" t="s">
        <v>548</v>
      </c>
      <c r="E347" t="s">
        <v>549</v>
      </c>
      <c r="F347" t="s">
        <v>23</v>
      </c>
      <c r="G347" t="s">
        <v>24</v>
      </c>
      <c r="H347">
        <v>3.79</v>
      </c>
      <c r="I347">
        <v>108062</v>
      </c>
      <c r="J347" t="s">
        <v>41</v>
      </c>
      <c r="K347">
        <v>2044.35</v>
      </c>
      <c r="L347">
        <v>1226.6099999999999</v>
      </c>
      <c r="M347">
        <v>6.49</v>
      </c>
      <c r="N347">
        <v>311</v>
      </c>
      <c r="O347" t="s">
        <v>46</v>
      </c>
      <c r="P347">
        <v>315</v>
      </c>
    </row>
    <row r="348" spans="1:16" x14ac:dyDescent="0.35">
      <c r="A348">
        <v>470</v>
      </c>
      <c r="B348">
        <v>2009</v>
      </c>
      <c r="C348" t="str">
        <f>IF(book_sales[[#This Row],[Publishing Year]]&lt;1900,"Classic (Before 1900)",IF(book_sales[[#This Row],[Publishing Year]]&lt;2000,"20th Century (1900-1999)","21st Century (2000+)"))</f>
        <v>21st Century (2000+)</v>
      </c>
      <c r="D348" t="s">
        <v>867</v>
      </c>
      <c r="E348" t="s">
        <v>868</v>
      </c>
      <c r="F348" t="s">
        <v>23</v>
      </c>
      <c r="G348" t="s">
        <v>18</v>
      </c>
      <c r="H348">
        <v>3.22</v>
      </c>
      <c r="I348">
        <v>74979</v>
      </c>
      <c r="J348" t="s">
        <v>19</v>
      </c>
      <c r="K348">
        <v>848.3</v>
      </c>
      <c r="L348">
        <v>0</v>
      </c>
      <c r="M348">
        <v>4.99</v>
      </c>
      <c r="N348">
        <v>520</v>
      </c>
      <c r="O348" t="s">
        <v>27</v>
      </c>
      <c r="P348">
        <v>4590</v>
      </c>
    </row>
    <row r="349" spans="1:16" x14ac:dyDescent="0.35">
      <c r="A349">
        <v>484</v>
      </c>
      <c r="B349">
        <v>1927</v>
      </c>
      <c r="C349" t="str">
        <f>IF(book_sales[[#This Row],[Publishing Year]]&lt;1900,"Classic (Before 1900)",IF(book_sales[[#This Row],[Publishing Year]]&lt;2000,"20th Century (1900-1999)","21st Century (2000+)"))</f>
        <v>20th Century (1900-1999)</v>
      </c>
      <c r="D349" t="s">
        <v>890</v>
      </c>
      <c r="E349" t="s">
        <v>891</v>
      </c>
      <c r="F349" t="s">
        <v>23</v>
      </c>
      <c r="G349" t="s">
        <v>532</v>
      </c>
      <c r="H349">
        <v>4.1100000000000003</v>
      </c>
      <c r="I349">
        <v>80769</v>
      </c>
      <c r="J349" t="s">
        <v>30</v>
      </c>
      <c r="K349">
        <v>833.33</v>
      </c>
      <c r="L349">
        <v>499.99799999999999</v>
      </c>
      <c r="M349">
        <v>4.99</v>
      </c>
      <c r="N349">
        <v>535</v>
      </c>
      <c r="O349" t="s">
        <v>27</v>
      </c>
      <c r="P349">
        <v>4509</v>
      </c>
    </row>
    <row r="350" spans="1:16" x14ac:dyDescent="0.35">
      <c r="A350">
        <v>285</v>
      </c>
      <c r="B350">
        <v>2009</v>
      </c>
      <c r="C350" t="str">
        <f>IF(book_sales[[#This Row],[Publishing Year]]&lt;1900,"Classic (Before 1900)",IF(book_sales[[#This Row],[Publishing Year]]&lt;2000,"20th Century (1900-1999)","21st Century (2000+)"))</f>
        <v>21st Century (2000+)</v>
      </c>
      <c r="D350" t="s">
        <v>542</v>
      </c>
      <c r="E350" t="s">
        <v>543</v>
      </c>
      <c r="F350" t="s">
        <v>23</v>
      </c>
      <c r="G350" t="s">
        <v>24</v>
      </c>
      <c r="H350">
        <v>3.85</v>
      </c>
      <c r="I350">
        <v>102936</v>
      </c>
      <c r="J350" t="s">
        <v>19</v>
      </c>
      <c r="K350">
        <v>2468.4899999999998</v>
      </c>
      <c r="L350">
        <v>1481.0940000000001</v>
      </c>
      <c r="M350">
        <v>7.69</v>
      </c>
      <c r="N350">
        <v>307</v>
      </c>
      <c r="O350" t="s">
        <v>34</v>
      </c>
      <c r="P350">
        <v>321</v>
      </c>
    </row>
    <row r="351" spans="1:16" x14ac:dyDescent="0.35">
      <c r="A351">
        <v>979</v>
      </c>
      <c r="B351">
        <v>2006</v>
      </c>
      <c r="C351" t="str">
        <f>IF(book_sales[[#This Row],[Publishing Year]]&lt;1900,"Classic (Before 1900)",IF(book_sales[[#This Row],[Publishing Year]]&lt;2000,"20th Century (1900-1999)","21st Century (2000+)"))</f>
        <v>21st Century (2000+)</v>
      </c>
      <c r="D351" t="s">
        <v>1664</v>
      </c>
      <c r="E351" t="s">
        <v>1665</v>
      </c>
      <c r="F351" t="s">
        <v>23</v>
      </c>
      <c r="G351" t="s">
        <v>53</v>
      </c>
      <c r="H351">
        <v>4.4000000000000004</v>
      </c>
      <c r="I351">
        <v>65477</v>
      </c>
      <c r="J351" t="s">
        <v>19</v>
      </c>
      <c r="K351">
        <v>434.91</v>
      </c>
      <c r="L351">
        <v>0</v>
      </c>
      <c r="M351">
        <v>3.99</v>
      </c>
      <c r="N351">
        <v>1155</v>
      </c>
      <c r="O351" t="s">
        <v>27</v>
      </c>
      <c r="P351">
        <v>4240</v>
      </c>
    </row>
    <row r="352" spans="1:16" x14ac:dyDescent="0.35">
      <c r="A352">
        <v>362</v>
      </c>
      <c r="B352">
        <v>2002</v>
      </c>
      <c r="C352" t="str">
        <f>IF(book_sales[[#This Row],[Publishing Year]]&lt;1900,"Classic (Before 1900)",IF(book_sales[[#This Row],[Publishing Year]]&lt;2000,"20th Century (1900-1999)","21st Century (2000+)"))</f>
        <v>21st Century (2000+)</v>
      </c>
      <c r="D352" t="s">
        <v>681</v>
      </c>
      <c r="E352" t="s">
        <v>682</v>
      </c>
      <c r="F352" t="s">
        <v>23</v>
      </c>
      <c r="G352" t="s">
        <v>53</v>
      </c>
      <c r="H352">
        <v>4.49</v>
      </c>
      <c r="I352">
        <v>93990</v>
      </c>
      <c r="J352" t="s">
        <v>19</v>
      </c>
      <c r="K352">
        <v>226.71</v>
      </c>
      <c r="L352">
        <v>0</v>
      </c>
      <c r="M352">
        <v>0.99</v>
      </c>
      <c r="N352">
        <v>391</v>
      </c>
      <c r="O352" t="s">
        <v>27</v>
      </c>
      <c r="P352">
        <v>6183</v>
      </c>
    </row>
    <row r="353" spans="1:16" x14ac:dyDescent="0.35">
      <c r="A353">
        <v>132</v>
      </c>
      <c r="B353">
        <v>1980</v>
      </c>
      <c r="C353" t="str">
        <f>IF(book_sales[[#This Row],[Publishing Year]]&lt;1900,"Classic (Before 1900)",IF(book_sales[[#This Row],[Publishing Year]]&lt;2000,"20th Century (1900-1999)","21st Century (2000+)"))</f>
        <v>20th Century (1900-1999)</v>
      </c>
      <c r="D353" t="s">
        <v>276</v>
      </c>
      <c r="E353" t="s">
        <v>277</v>
      </c>
      <c r="F353" t="s">
        <v>23</v>
      </c>
      <c r="G353" t="s">
        <v>24</v>
      </c>
      <c r="H353">
        <v>4.07</v>
      </c>
      <c r="I353">
        <v>137372</v>
      </c>
      <c r="J353" t="s">
        <v>19</v>
      </c>
      <c r="K353">
        <v>3192</v>
      </c>
      <c r="L353">
        <v>0</v>
      </c>
      <c r="M353">
        <v>3.99</v>
      </c>
      <c r="N353">
        <v>140</v>
      </c>
      <c r="O353" t="s">
        <v>27</v>
      </c>
      <c r="P353">
        <v>800</v>
      </c>
    </row>
    <row r="354" spans="1:16" x14ac:dyDescent="0.35">
      <c r="A354">
        <v>211</v>
      </c>
      <c r="B354">
        <v>2012</v>
      </c>
      <c r="C354" t="str">
        <f>IF(book_sales[[#This Row],[Publishing Year]]&lt;1900,"Classic (Before 1900)",IF(book_sales[[#This Row],[Publishing Year]]&lt;2000,"20th Century (1900-1999)","21st Century (2000+)"))</f>
        <v>21st Century (2000+)</v>
      </c>
      <c r="D354" t="s">
        <v>412</v>
      </c>
      <c r="E354" t="s">
        <v>413</v>
      </c>
      <c r="F354" t="s">
        <v>23</v>
      </c>
      <c r="G354" t="s">
        <v>24</v>
      </c>
      <c r="H354">
        <v>4.24</v>
      </c>
      <c r="I354">
        <v>81982</v>
      </c>
      <c r="J354" t="s">
        <v>19</v>
      </c>
      <c r="K354">
        <v>2250.4899999999998</v>
      </c>
      <c r="L354">
        <v>1350.2940000000001</v>
      </c>
      <c r="M354">
        <v>4.99</v>
      </c>
      <c r="N354">
        <v>229</v>
      </c>
      <c r="O354" t="s">
        <v>34</v>
      </c>
      <c r="P354">
        <v>451</v>
      </c>
    </row>
    <row r="355" spans="1:16" x14ac:dyDescent="0.35">
      <c r="A355">
        <v>549</v>
      </c>
      <c r="B355">
        <v>2012</v>
      </c>
      <c r="C355" t="str">
        <f>IF(book_sales[[#This Row],[Publishing Year]]&lt;1900,"Classic (Before 1900)",IF(book_sales[[#This Row],[Publishing Year]]&lt;2000,"20th Century (1900-1999)","21st Century (2000+)"))</f>
        <v>21st Century (2000+)</v>
      </c>
      <c r="D355" t="s">
        <v>995</v>
      </c>
      <c r="E355" t="s">
        <v>996</v>
      </c>
      <c r="F355" t="s">
        <v>23</v>
      </c>
      <c r="G355" t="s">
        <v>532</v>
      </c>
      <c r="H355">
        <v>4.0199999999999996</v>
      </c>
      <c r="I355">
        <v>102012</v>
      </c>
      <c r="J355" t="s">
        <v>19</v>
      </c>
      <c r="K355">
        <v>594.51</v>
      </c>
      <c r="L355">
        <v>356.70600000000002</v>
      </c>
      <c r="M355">
        <v>3.99</v>
      </c>
      <c r="N355">
        <v>615</v>
      </c>
      <c r="O355" t="s">
        <v>66</v>
      </c>
      <c r="P355">
        <v>4023</v>
      </c>
    </row>
    <row r="356" spans="1:16" x14ac:dyDescent="0.35">
      <c r="A356">
        <v>716</v>
      </c>
      <c r="B356">
        <v>1967</v>
      </c>
      <c r="C356" t="str">
        <f>IF(book_sales[[#This Row],[Publishing Year]]&lt;1900,"Classic (Before 1900)",IF(book_sales[[#This Row],[Publishing Year]]&lt;2000,"20th Century (1900-1999)","21st Century (2000+)"))</f>
        <v>20th Century (1900-1999)</v>
      </c>
      <c r="D356" t="s">
        <v>1265</v>
      </c>
      <c r="E356" t="s">
        <v>1266</v>
      </c>
      <c r="F356" t="s">
        <v>23</v>
      </c>
      <c r="G356" t="s">
        <v>24</v>
      </c>
      <c r="H356">
        <v>3.96</v>
      </c>
      <c r="I356">
        <v>78766</v>
      </c>
      <c r="J356" t="s">
        <v>19</v>
      </c>
      <c r="K356">
        <v>588.82000000000005</v>
      </c>
      <c r="L356">
        <v>0</v>
      </c>
      <c r="M356">
        <v>4.99</v>
      </c>
      <c r="N356">
        <v>823</v>
      </c>
      <c r="O356" t="s">
        <v>27</v>
      </c>
      <c r="P356">
        <v>34776</v>
      </c>
    </row>
    <row r="357" spans="1:16" x14ac:dyDescent="0.35">
      <c r="A357">
        <v>382</v>
      </c>
      <c r="B357">
        <v>1931</v>
      </c>
      <c r="C357" t="str">
        <f>IF(book_sales[[#This Row],[Publishing Year]]&lt;1900,"Classic (Before 1900)",IF(book_sales[[#This Row],[Publishing Year]]&lt;2000,"20th Century (1900-1999)","21st Century (2000+)"))</f>
        <v>20th Century (1900-1999)</v>
      </c>
      <c r="D357" t="s">
        <v>716</v>
      </c>
      <c r="E357" t="s">
        <v>717</v>
      </c>
      <c r="G357" t="s">
        <v>532</v>
      </c>
      <c r="H357">
        <v>4.1399999999999997</v>
      </c>
      <c r="I357">
        <v>102348</v>
      </c>
      <c r="J357" t="s">
        <v>30</v>
      </c>
      <c r="K357">
        <v>1864.03</v>
      </c>
      <c r="L357">
        <v>1118.4179999999999</v>
      </c>
      <c r="M357">
        <v>8.59</v>
      </c>
      <c r="N357">
        <v>415</v>
      </c>
      <c r="O357" t="s">
        <v>31</v>
      </c>
      <c r="P357">
        <v>5859</v>
      </c>
    </row>
    <row r="358" spans="1:16" x14ac:dyDescent="0.35">
      <c r="A358">
        <v>257</v>
      </c>
      <c r="B358">
        <v>1993</v>
      </c>
      <c r="C358" t="str">
        <f>IF(book_sales[[#This Row],[Publishing Year]]&lt;1900,"Classic (Before 1900)",IF(book_sales[[#This Row],[Publishing Year]]&lt;2000,"20th Century (1900-1999)","21st Century (2000+)"))</f>
        <v>20th Century (1900-1999)</v>
      </c>
      <c r="D358" t="s">
        <v>491</v>
      </c>
      <c r="E358" t="s">
        <v>492</v>
      </c>
      <c r="F358" t="s">
        <v>120</v>
      </c>
      <c r="G358" t="s">
        <v>24</v>
      </c>
      <c r="H358">
        <v>4.07</v>
      </c>
      <c r="I358">
        <v>59453</v>
      </c>
      <c r="J358" t="s">
        <v>19</v>
      </c>
      <c r="K358">
        <v>1100.32</v>
      </c>
      <c r="L358">
        <v>660.19200000000001</v>
      </c>
      <c r="M358">
        <v>2.99</v>
      </c>
      <c r="N358">
        <v>279</v>
      </c>
      <c r="O358" t="s">
        <v>46</v>
      </c>
      <c r="P358">
        <v>368</v>
      </c>
    </row>
    <row r="359" spans="1:16" x14ac:dyDescent="0.35">
      <c r="A359">
        <v>935</v>
      </c>
      <c r="B359">
        <v>1958</v>
      </c>
      <c r="C359" t="str">
        <f>IF(book_sales[[#This Row],[Publishing Year]]&lt;1900,"Classic (Before 1900)",IF(book_sales[[#This Row],[Publishing Year]]&lt;2000,"20th Century (1900-1999)","21st Century (2000+)"))</f>
        <v>20th Century (1900-1999)</v>
      </c>
      <c r="D359" t="s">
        <v>1595</v>
      </c>
      <c r="E359" t="s">
        <v>1596</v>
      </c>
      <c r="F359" t="s">
        <v>23</v>
      </c>
      <c r="G359" t="s">
        <v>532</v>
      </c>
      <c r="H359">
        <v>4.09</v>
      </c>
      <c r="I359">
        <v>61256</v>
      </c>
      <c r="J359" t="s">
        <v>19</v>
      </c>
      <c r="K359">
        <v>438.9</v>
      </c>
      <c r="L359">
        <v>0</v>
      </c>
      <c r="M359">
        <v>3.99</v>
      </c>
      <c r="N359">
        <v>1100</v>
      </c>
      <c r="O359" t="s">
        <v>27</v>
      </c>
      <c r="P359">
        <v>4320</v>
      </c>
    </row>
    <row r="360" spans="1:16" x14ac:dyDescent="0.35">
      <c r="A360">
        <v>258</v>
      </c>
      <c r="B360">
        <v>1952</v>
      </c>
      <c r="C360" t="str">
        <f>IF(book_sales[[#This Row],[Publishing Year]]&lt;1900,"Classic (Before 1900)",IF(book_sales[[#This Row],[Publishing Year]]&lt;2000,"20th Century (1900-1999)","21st Century (2000+)"))</f>
        <v>20th Century (1900-1999)</v>
      </c>
      <c r="D360" t="s">
        <v>493</v>
      </c>
      <c r="E360" t="s">
        <v>494</v>
      </c>
      <c r="F360" t="s">
        <v>23</v>
      </c>
      <c r="G360" t="s">
        <v>24</v>
      </c>
      <c r="H360">
        <v>4.2</v>
      </c>
      <c r="I360">
        <v>105595</v>
      </c>
      <c r="J360" t="s">
        <v>19</v>
      </c>
      <c r="K360">
        <v>1094.3399999999999</v>
      </c>
      <c r="L360">
        <v>0</v>
      </c>
      <c r="M360">
        <v>2.99</v>
      </c>
      <c r="N360">
        <v>280</v>
      </c>
      <c r="O360" t="s">
        <v>27</v>
      </c>
      <c r="P360">
        <v>366</v>
      </c>
    </row>
    <row r="361" spans="1:16" x14ac:dyDescent="0.35">
      <c r="A361">
        <v>692</v>
      </c>
      <c r="B361">
        <v>1953</v>
      </c>
      <c r="C361" t="str">
        <f>IF(book_sales[[#This Row],[Publishing Year]]&lt;1900,"Classic (Before 1900)",IF(book_sales[[#This Row],[Publishing Year]]&lt;2000,"20th Century (1900-1999)","21st Century (2000+)"))</f>
        <v>20th Century (1900-1999)</v>
      </c>
      <c r="D361" t="s">
        <v>1231</v>
      </c>
      <c r="E361" t="s">
        <v>494</v>
      </c>
      <c r="F361" t="s">
        <v>23</v>
      </c>
      <c r="G361" t="s">
        <v>532</v>
      </c>
      <c r="H361">
        <v>4.3899999999999997</v>
      </c>
      <c r="I361">
        <v>72311</v>
      </c>
      <c r="J361" t="s">
        <v>30</v>
      </c>
      <c r="K361">
        <v>1060.82</v>
      </c>
      <c r="L361">
        <v>636.49199999999996</v>
      </c>
      <c r="M361">
        <v>8.99</v>
      </c>
      <c r="N361">
        <v>797</v>
      </c>
      <c r="O361" t="s">
        <v>20</v>
      </c>
      <c r="P361">
        <v>36504</v>
      </c>
    </row>
    <row r="362" spans="1:16" x14ac:dyDescent="0.35">
      <c r="A362">
        <v>646</v>
      </c>
      <c r="B362">
        <v>2010</v>
      </c>
      <c r="C362" t="str">
        <f>IF(book_sales[[#This Row],[Publishing Year]]&lt;1900,"Classic (Before 1900)",IF(book_sales[[#This Row],[Publishing Year]]&lt;2000,"20th Century (1900-1999)","21st Century (2000+)"))</f>
        <v>21st Century (2000+)</v>
      </c>
      <c r="D362" t="s">
        <v>1152</v>
      </c>
      <c r="E362" t="s">
        <v>1153</v>
      </c>
      <c r="G362" t="s">
        <v>24</v>
      </c>
      <c r="H362">
        <v>3.93</v>
      </c>
      <c r="I362">
        <v>66381</v>
      </c>
      <c r="J362" t="s">
        <v>19</v>
      </c>
      <c r="K362">
        <v>486.78</v>
      </c>
      <c r="L362">
        <v>292.06799999999998</v>
      </c>
      <c r="M362">
        <v>3.99</v>
      </c>
      <c r="N362">
        <v>740</v>
      </c>
      <c r="O362" t="s">
        <v>27</v>
      </c>
      <c r="P362">
        <v>43848</v>
      </c>
    </row>
    <row r="363" spans="1:16" x14ac:dyDescent="0.35">
      <c r="A363">
        <v>138</v>
      </c>
      <c r="B363">
        <v>1982</v>
      </c>
      <c r="C363" t="str">
        <f>IF(book_sales[[#This Row],[Publishing Year]]&lt;1900,"Classic (Before 1900)",IF(book_sales[[#This Row],[Publishing Year]]&lt;2000,"20th Century (1900-1999)","21st Century (2000+)"))</f>
        <v>20th Century (1900-1999)</v>
      </c>
      <c r="D363" t="s">
        <v>287</v>
      </c>
      <c r="E363" t="s">
        <v>288</v>
      </c>
      <c r="F363" t="s">
        <v>17</v>
      </c>
      <c r="G363" t="s">
        <v>24</v>
      </c>
      <c r="H363">
        <v>4.2</v>
      </c>
      <c r="I363">
        <v>119930</v>
      </c>
      <c r="J363" t="s">
        <v>19</v>
      </c>
      <c r="K363">
        <v>8269.25</v>
      </c>
      <c r="L363">
        <v>4961.55</v>
      </c>
      <c r="M363">
        <v>10.67</v>
      </c>
      <c r="N363">
        <v>145</v>
      </c>
      <c r="O363" t="s">
        <v>66</v>
      </c>
      <c r="P363">
        <v>775</v>
      </c>
    </row>
    <row r="364" spans="1:16" x14ac:dyDescent="0.35">
      <c r="A364">
        <v>394</v>
      </c>
      <c r="B364">
        <v>1998</v>
      </c>
      <c r="C364" t="str">
        <f>IF(book_sales[[#This Row],[Publishing Year]]&lt;1900,"Classic (Before 1900)",IF(book_sales[[#This Row],[Publishing Year]]&lt;2000,"20th Century (1900-1999)","21st Century (2000+)"))</f>
        <v>20th Century (1900-1999)</v>
      </c>
      <c r="D364" t="s">
        <v>739</v>
      </c>
      <c r="E364" t="s">
        <v>740</v>
      </c>
      <c r="F364" t="s">
        <v>23</v>
      </c>
      <c r="G364" t="s">
        <v>24</v>
      </c>
      <c r="H364">
        <v>3.89</v>
      </c>
      <c r="I364">
        <v>89770</v>
      </c>
      <c r="J364" t="s">
        <v>19</v>
      </c>
      <c r="K364">
        <v>630.89</v>
      </c>
      <c r="L364">
        <v>0</v>
      </c>
      <c r="M364">
        <v>2.99</v>
      </c>
      <c r="N364">
        <v>428</v>
      </c>
      <c r="O364" t="s">
        <v>27</v>
      </c>
      <c r="P364">
        <v>5697</v>
      </c>
    </row>
    <row r="365" spans="1:16" x14ac:dyDescent="0.35">
      <c r="A365">
        <v>206</v>
      </c>
      <c r="B365">
        <v>2007</v>
      </c>
      <c r="C365" t="str">
        <f>IF(book_sales[[#This Row],[Publishing Year]]&lt;1900,"Classic (Before 1900)",IF(book_sales[[#This Row],[Publishing Year]]&lt;2000,"20th Century (1900-1999)","21st Century (2000+)"))</f>
        <v>21st Century (2000+)</v>
      </c>
      <c r="D365" t="s">
        <v>404</v>
      </c>
      <c r="E365" t="s">
        <v>405</v>
      </c>
      <c r="F365" t="s">
        <v>17</v>
      </c>
      <c r="G365" t="s">
        <v>24</v>
      </c>
      <c r="H365">
        <v>4.1399999999999997</v>
      </c>
      <c r="I365">
        <v>116260</v>
      </c>
      <c r="J365" t="s">
        <v>19</v>
      </c>
      <c r="K365">
        <v>3643.44</v>
      </c>
      <c r="L365">
        <v>0</v>
      </c>
      <c r="M365">
        <v>7.99</v>
      </c>
      <c r="N365">
        <v>226</v>
      </c>
      <c r="O365" t="s">
        <v>27</v>
      </c>
      <c r="P365">
        <v>456</v>
      </c>
    </row>
    <row r="366" spans="1:16" x14ac:dyDescent="0.35">
      <c r="A366">
        <v>634</v>
      </c>
      <c r="B366">
        <v>2013</v>
      </c>
      <c r="C366" t="str">
        <f>IF(book_sales[[#This Row],[Publishing Year]]&lt;1900,"Classic (Before 1900)",IF(book_sales[[#This Row],[Publishing Year]]&lt;2000,"20th Century (1900-1999)","21st Century (2000+)"))</f>
        <v>21st Century (2000+)</v>
      </c>
      <c r="D366" t="s">
        <v>1133</v>
      </c>
      <c r="E366" t="s">
        <v>1134</v>
      </c>
      <c r="F366" t="s">
        <v>23</v>
      </c>
      <c r="G366" t="s">
        <v>532</v>
      </c>
      <c r="H366">
        <v>4.1900000000000004</v>
      </c>
      <c r="I366">
        <v>106236</v>
      </c>
      <c r="J366" t="s">
        <v>19</v>
      </c>
      <c r="K366">
        <v>506.73</v>
      </c>
      <c r="L366">
        <v>0</v>
      </c>
      <c r="M366">
        <v>3.99</v>
      </c>
      <c r="N366">
        <v>717</v>
      </c>
      <c r="O366" t="s">
        <v>27</v>
      </c>
      <c r="P366">
        <v>46440</v>
      </c>
    </row>
    <row r="367" spans="1:16" x14ac:dyDescent="0.35">
      <c r="A367">
        <v>407</v>
      </c>
      <c r="B367">
        <v>2012</v>
      </c>
      <c r="C367" t="str">
        <f>IF(book_sales[[#This Row],[Publishing Year]]&lt;1900,"Classic (Before 1900)",IF(book_sales[[#This Row],[Publishing Year]]&lt;2000,"20th Century (1900-1999)","21st Century (2000+)"))</f>
        <v>21st Century (2000+)</v>
      </c>
      <c r="D367" t="s">
        <v>765</v>
      </c>
      <c r="E367" t="s">
        <v>766</v>
      </c>
      <c r="F367" t="s">
        <v>17</v>
      </c>
      <c r="G367" t="s">
        <v>532</v>
      </c>
      <c r="H367">
        <v>4.26</v>
      </c>
      <c r="I367">
        <v>117508</v>
      </c>
      <c r="J367" t="s">
        <v>19</v>
      </c>
      <c r="K367">
        <v>600.99</v>
      </c>
      <c r="L367">
        <v>360.59399999999999</v>
      </c>
      <c r="M367">
        <v>2.99</v>
      </c>
      <c r="N367">
        <v>447</v>
      </c>
      <c r="O367" t="s">
        <v>66</v>
      </c>
      <c r="P367">
        <v>5427</v>
      </c>
    </row>
    <row r="368" spans="1:16" x14ac:dyDescent="0.35">
      <c r="A368">
        <v>301</v>
      </c>
      <c r="B368">
        <v>1995</v>
      </c>
      <c r="C368" t="str">
        <f>IF(book_sales[[#This Row],[Publishing Year]]&lt;1900,"Classic (Before 1900)",IF(book_sales[[#This Row],[Publishing Year]]&lt;2000,"20th Century (1900-1999)","21st Century (2000+)"))</f>
        <v>20th Century (1900-1999)</v>
      </c>
      <c r="D368" t="s">
        <v>572</v>
      </c>
      <c r="E368" t="s">
        <v>573</v>
      </c>
      <c r="F368" t="s">
        <v>17</v>
      </c>
      <c r="G368" t="s">
        <v>532</v>
      </c>
      <c r="H368">
        <v>4.13</v>
      </c>
      <c r="I368">
        <v>78028</v>
      </c>
      <c r="J368" t="s">
        <v>19</v>
      </c>
      <c r="K368">
        <v>1772.95</v>
      </c>
      <c r="L368">
        <v>1063.77</v>
      </c>
      <c r="M368">
        <v>6.01</v>
      </c>
      <c r="N368">
        <v>323</v>
      </c>
      <c r="O368" t="s">
        <v>20</v>
      </c>
      <c r="P368">
        <v>295</v>
      </c>
    </row>
    <row r="369" spans="1:16" x14ac:dyDescent="0.35">
      <c r="A369">
        <v>178</v>
      </c>
      <c r="B369">
        <v>1953</v>
      </c>
      <c r="C369" t="str">
        <f>IF(book_sales[[#This Row],[Publishing Year]]&lt;1900,"Classic (Before 1900)",IF(book_sales[[#This Row],[Publishing Year]]&lt;2000,"20th Century (1900-1999)","21st Century (2000+)"))</f>
        <v>20th Century (1900-1999)</v>
      </c>
      <c r="D369" t="s">
        <v>354</v>
      </c>
      <c r="E369" t="s">
        <v>355</v>
      </c>
      <c r="F369" t="s">
        <v>23</v>
      </c>
      <c r="G369" t="s">
        <v>24</v>
      </c>
      <c r="H369">
        <v>4.1900000000000004</v>
      </c>
      <c r="I369">
        <v>105138</v>
      </c>
      <c r="J369" t="s">
        <v>19</v>
      </c>
      <c r="K369">
        <v>2154.6</v>
      </c>
      <c r="L369">
        <v>0</v>
      </c>
      <c r="M369">
        <v>3.99</v>
      </c>
      <c r="N369">
        <v>192</v>
      </c>
      <c r="O369" t="s">
        <v>27</v>
      </c>
      <c r="P369">
        <v>540</v>
      </c>
    </row>
    <row r="370" spans="1:16" x14ac:dyDescent="0.35">
      <c r="A370">
        <v>993</v>
      </c>
      <c r="B370">
        <v>2016</v>
      </c>
      <c r="C370" t="str">
        <f>IF(book_sales[[#This Row],[Publishing Year]]&lt;1900,"Classic (Before 1900)",IF(book_sales[[#This Row],[Publishing Year]]&lt;2000,"20th Century (1900-1999)","21st Century (2000+)"))</f>
        <v>21st Century (2000+)</v>
      </c>
      <c r="D370" t="s">
        <v>1688</v>
      </c>
      <c r="E370" t="s">
        <v>1689</v>
      </c>
      <c r="F370" t="s">
        <v>23</v>
      </c>
      <c r="G370" t="s">
        <v>24</v>
      </c>
      <c r="H370">
        <v>3.99</v>
      </c>
      <c r="I370">
        <v>80737</v>
      </c>
      <c r="J370" t="s">
        <v>19</v>
      </c>
      <c r="K370">
        <v>430.92</v>
      </c>
      <c r="L370">
        <v>0</v>
      </c>
      <c r="M370">
        <v>3.99</v>
      </c>
      <c r="N370">
        <v>1169</v>
      </c>
      <c r="O370" t="s">
        <v>27</v>
      </c>
      <c r="P370">
        <v>108</v>
      </c>
    </row>
    <row r="371" spans="1:16" x14ac:dyDescent="0.35">
      <c r="A371">
        <v>1013</v>
      </c>
      <c r="B371">
        <v>1999</v>
      </c>
      <c r="C371" t="str">
        <f>IF(book_sales[[#This Row],[Publishing Year]]&lt;1900,"Classic (Before 1900)",IF(book_sales[[#This Row],[Publishing Year]]&lt;2000,"20th Century (1900-1999)","21st Century (2000+)"))</f>
        <v>20th Century (1900-1999)</v>
      </c>
      <c r="D371" t="s">
        <v>1717</v>
      </c>
      <c r="E371" t="s">
        <v>1718</v>
      </c>
      <c r="F371" t="s">
        <v>23</v>
      </c>
      <c r="G371" t="s">
        <v>24</v>
      </c>
      <c r="H371">
        <v>3.83</v>
      </c>
      <c r="I371">
        <v>50422</v>
      </c>
      <c r="J371" t="s">
        <v>30</v>
      </c>
      <c r="K371">
        <v>1078.92</v>
      </c>
      <c r="L371">
        <v>647.35199999999998</v>
      </c>
      <c r="M371">
        <v>9.99</v>
      </c>
      <c r="N371">
        <v>1198</v>
      </c>
      <c r="O371" t="s">
        <v>46</v>
      </c>
      <c r="P371">
        <v>108</v>
      </c>
    </row>
    <row r="372" spans="1:16" x14ac:dyDescent="0.35">
      <c r="A372">
        <v>310</v>
      </c>
      <c r="B372">
        <v>2006</v>
      </c>
      <c r="C372" t="str">
        <f>IF(book_sales[[#This Row],[Publishing Year]]&lt;1900,"Classic (Before 1900)",IF(book_sales[[#This Row],[Publishing Year]]&lt;2000,"20th Century (1900-1999)","21st Century (2000+)"))</f>
        <v>21st Century (2000+)</v>
      </c>
      <c r="D372" t="s">
        <v>588</v>
      </c>
      <c r="E372" t="s">
        <v>589</v>
      </c>
      <c r="F372" t="s">
        <v>23</v>
      </c>
      <c r="G372" t="s">
        <v>53</v>
      </c>
      <c r="H372">
        <v>4.45</v>
      </c>
      <c r="I372">
        <v>134249</v>
      </c>
      <c r="J372" t="s">
        <v>19</v>
      </c>
      <c r="K372">
        <v>1412.17</v>
      </c>
      <c r="L372">
        <v>847.30200000000002</v>
      </c>
      <c r="M372">
        <v>4.99</v>
      </c>
      <c r="N372">
        <v>330</v>
      </c>
      <c r="O372" t="s">
        <v>66</v>
      </c>
      <c r="P372">
        <v>283</v>
      </c>
    </row>
    <row r="373" spans="1:16" x14ac:dyDescent="0.35">
      <c r="A373">
        <v>358</v>
      </c>
      <c r="B373">
        <v>2006</v>
      </c>
      <c r="C373" t="str">
        <f>IF(book_sales[[#This Row],[Publishing Year]]&lt;1900,"Classic (Before 1900)",IF(book_sales[[#This Row],[Publishing Year]]&lt;2000,"20th Century (1900-1999)","21st Century (2000+)"))</f>
        <v>21st Century (2000+)</v>
      </c>
      <c r="D373" t="s">
        <v>676</v>
      </c>
      <c r="E373" t="s">
        <v>589</v>
      </c>
      <c r="F373" t="s">
        <v>23</v>
      </c>
      <c r="G373" t="s">
        <v>532</v>
      </c>
      <c r="H373">
        <v>4.3499999999999996</v>
      </c>
      <c r="I373">
        <v>137558</v>
      </c>
      <c r="J373" t="s">
        <v>41</v>
      </c>
      <c r="K373">
        <v>2460.15</v>
      </c>
      <c r="L373">
        <v>1476.09</v>
      </c>
      <c r="M373">
        <v>10.65</v>
      </c>
      <c r="N373">
        <v>387</v>
      </c>
      <c r="O373" t="s">
        <v>46</v>
      </c>
      <c r="P373">
        <v>6237</v>
      </c>
    </row>
    <row r="374" spans="1:16" x14ac:dyDescent="0.35">
      <c r="A374">
        <v>760</v>
      </c>
      <c r="B374">
        <v>2007</v>
      </c>
      <c r="C374" t="str">
        <f>IF(book_sales[[#This Row],[Publishing Year]]&lt;1900,"Classic (Before 1900)",IF(book_sales[[#This Row],[Publishing Year]]&lt;2000,"20th Century (1900-1999)","21st Century (2000+)"))</f>
        <v>21st Century (2000+)</v>
      </c>
      <c r="D374" t="s">
        <v>1335</v>
      </c>
      <c r="E374" t="s">
        <v>589</v>
      </c>
      <c r="F374" t="s">
        <v>23</v>
      </c>
      <c r="G374" t="s">
        <v>532</v>
      </c>
      <c r="H374">
        <v>4.3</v>
      </c>
      <c r="I374">
        <v>97830</v>
      </c>
      <c r="J374" t="s">
        <v>19</v>
      </c>
      <c r="K374">
        <v>694.84</v>
      </c>
      <c r="L374">
        <v>0</v>
      </c>
      <c r="M374">
        <v>5.99</v>
      </c>
      <c r="N374">
        <v>879</v>
      </c>
      <c r="O374" t="s">
        <v>27</v>
      </c>
      <c r="P374">
        <v>30888</v>
      </c>
    </row>
    <row r="375" spans="1:16" x14ac:dyDescent="0.35">
      <c r="A375">
        <v>805</v>
      </c>
      <c r="B375">
        <v>2007</v>
      </c>
      <c r="C375" t="str">
        <f>IF(book_sales[[#This Row],[Publishing Year]]&lt;1900,"Classic (Before 1900)",IF(book_sales[[#This Row],[Publishing Year]]&lt;2000,"20th Century (1900-1999)","21st Century (2000+)"))</f>
        <v>21st Century (2000+)</v>
      </c>
      <c r="D375" t="s">
        <v>1412</v>
      </c>
      <c r="E375" t="s">
        <v>589</v>
      </c>
      <c r="F375" t="s">
        <v>23</v>
      </c>
      <c r="G375" t="s">
        <v>532</v>
      </c>
      <c r="H375">
        <v>4.33</v>
      </c>
      <c r="I375">
        <v>97514</v>
      </c>
      <c r="J375" t="s">
        <v>30</v>
      </c>
      <c r="K375">
        <v>910.86</v>
      </c>
      <c r="L375">
        <v>546.51599999999996</v>
      </c>
      <c r="M375">
        <v>7.99</v>
      </c>
      <c r="N375">
        <v>938</v>
      </c>
      <c r="O375" t="s">
        <v>27</v>
      </c>
      <c r="P375">
        <v>2916</v>
      </c>
    </row>
    <row r="376" spans="1:16" x14ac:dyDescent="0.35">
      <c r="A376">
        <v>942</v>
      </c>
      <c r="B376">
        <v>2008</v>
      </c>
      <c r="C376" t="str">
        <f>IF(book_sales[[#This Row],[Publishing Year]]&lt;1900,"Classic (Before 1900)",IF(book_sales[[#This Row],[Publishing Year]]&lt;2000,"20th Century (1900-1999)","21st Century (2000+)"))</f>
        <v>21st Century (2000+)</v>
      </c>
      <c r="D376" t="s">
        <v>1609</v>
      </c>
      <c r="E376" t="s">
        <v>589</v>
      </c>
      <c r="F376" t="s">
        <v>23</v>
      </c>
      <c r="G376" t="s">
        <v>532</v>
      </c>
      <c r="H376">
        <v>4.12</v>
      </c>
      <c r="I376">
        <v>87432</v>
      </c>
      <c r="J376" t="s">
        <v>19</v>
      </c>
      <c r="K376">
        <v>988.9</v>
      </c>
      <c r="L376">
        <v>593.34</v>
      </c>
      <c r="M376">
        <v>8.99</v>
      </c>
      <c r="N376">
        <v>1106</v>
      </c>
      <c r="O376" t="s">
        <v>46</v>
      </c>
      <c r="P376">
        <v>4320</v>
      </c>
    </row>
    <row r="377" spans="1:16" x14ac:dyDescent="0.35">
      <c r="A377">
        <v>952</v>
      </c>
      <c r="B377">
        <v>2009</v>
      </c>
      <c r="C377" t="str">
        <f>IF(book_sales[[#This Row],[Publishing Year]]&lt;1900,"Classic (Before 1900)",IF(book_sales[[#This Row],[Publishing Year]]&lt;2000,"20th Century (1900-1999)","21st Century (2000+)"))</f>
        <v>21st Century (2000+)</v>
      </c>
      <c r="D377" t="s">
        <v>1626</v>
      </c>
      <c r="E377" t="s">
        <v>589</v>
      </c>
      <c r="F377" t="s">
        <v>23</v>
      </c>
      <c r="G377" t="s">
        <v>532</v>
      </c>
      <c r="H377">
        <v>4.38</v>
      </c>
      <c r="I377">
        <v>84650</v>
      </c>
      <c r="J377" t="s">
        <v>608</v>
      </c>
      <c r="K377">
        <v>493.9</v>
      </c>
      <c r="L377">
        <v>296.33999999999997</v>
      </c>
      <c r="M377">
        <v>4.49</v>
      </c>
      <c r="N377">
        <v>1123</v>
      </c>
      <c r="O377" t="s">
        <v>133</v>
      </c>
      <c r="P377">
        <v>4280</v>
      </c>
    </row>
    <row r="378" spans="1:16" x14ac:dyDescent="0.35">
      <c r="A378">
        <v>982</v>
      </c>
      <c r="B378">
        <v>2010</v>
      </c>
      <c r="C378" t="str">
        <f>IF(book_sales[[#This Row],[Publishing Year]]&lt;1900,"Classic (Before 1900)",IF(book_sales[[#This Row],[Publishing Year]]&lt;2000,"20th Century (1900-1999)","21st Century (2000+)"))</f>
        <v>21st Century (2000+)</v>
      </c>
      <c r="D378" t="s">
        <v>1670</v>
      </c>
      <c r="E378" t="s">
        <v>589</v>
      </c>
      <c r="F378" t="s">
        <v>23</v>
      </c>
      <c r="G378" t="s">
        <v>53</v>
      </c>
      <c r="H378">
        <v>4.41</v>
      </c>
      <c r="I378">
        <v>82824</v>
      </c>
      <c r="J378" t="s">
        <v>19</v>
      </c>
      <c r="K378">
        <v>543.91</v>
      </c>
      <c r="L378">
        <v>0</v>
      </c>
      <c r="M378">
        <v>4.99</v>
      </c>
      <c r="N378">
        <v>1160</v>
      </c>
      <c r="O378" t="s">
        <v>27</v>
      </c>
      <c r="P378">
        <v>109</v>
      </c>
    </row>
    <row r="379" spans="1:16" x14ac:dyDescent="0.35">
      <c r="A379">
        <v>433</v>
      </c>
      <c r="B379">
        <v>1973</v>
      </c>
      <c r="C379" t="str">
        <f>IF(book_sales[[#This Row],[Publishing Year]]&lt;1900,"Classic (Before 1900)",IF(book_sales[[#This Row],[Publishing Year]]&lt;2000,"20th Century (1900-1999)","21st Century (2000+)"))</f>
        <v>20th Century (1900-1999)</v>
      </c>
      <c r="D379" t="s">
        <v>805</v>
      </c>
      <c r="E379" t="s">
        <v>806</v>
      </c>
      <c r="F379" t="s">
        <v>23</v>
      </c>
      <c r="G379" t="s">
        <v>53</v>
      </c>
      <c r="H379">
        <v>4.59</v>
      </c>
      <c r="I379">
        <v>90907</v>
      </c>
      <c r="J379" t="s">
        <v>19</v>
      </c>
      <c r="K379">
        <v>184.14</v>
      </c>
      <c r="L379">
        <v>110.48399999999999</v>
      </c>
      <c r="M379">
        <v>0.99</v>
      </c>
      <c r="N379">
        <v>477</v>
      </c>
      <c r="O379" t="s">
        <v>27</v>
      </c>
      <c r="P379">
        <v>5022</v>
      </c>
    </row>
    <row r="380" spans="1:16" x14ac:dyDescent="0.35">
      <c r="A380">
        <v>80</v>
      </c>
      <c r="B380">
        <v>1977</v>
      </c>
      <c r="C380" t="str">
        <f>IF(book_sales[[#This Row],[Publishing Year]]&lt;1900,"Classic (Before 1900)",IF(book_sales[[#This Row],[Publishing Year]]&lt;2000,"20th Century (1900-1999)","21st Century (2000+)"))</f>
        <v>20th Century (1900-1999)</v>
      </c>
      <c r="D380" t="s">
        <v>185</v>
      </c>
      <c r="E380" t="s">
        <v>186</v>
      </c>
      <c r="F380" t="s">
        <v>23</v>
      </c>
      <c r="G380" t="s">
        <v>24</v>
      </c>
      <c r="H380">
        <v>3.87</v>
      </c>
      <c r="I380">
        <v>134106</v>
      </c>
      <c r="J380" t="s">
        <v>19</v>
      </c>
      <c r="K380">
        <v>6447.08</v>
      </c>
      <c r="L380">
        <v>3868.248</v>
      </c>
      <c r="M380">
        <v>4.99</v>
      </c>
      <c r="N380">
        <v>81</v>
      </c>
      <c r="O380" t="s">
        <v>46</v>
      </c>
      <c r="P380">
        <v>1292</v>
      </c>
    </row>
    <row r="381" spans="1:16" x14ac:dyDescent="0.35">
      <c r="A381">
        <v>719</v>
      </c>
      <c r="B381">
        <v>1958</v>
      </c>
      <c r="C381" t="str">
        <f>IF(book_sales[[#This Row],[Publishing Year]]&lt;1900,"Classic (Before 1900)",IF(book_sales[[#This Row],[Publishing Year]]&lt;2000,"20th Century (1900-1999)","21st Century (2000+)"))</f>
        <v>20th Century (1900-1999)</v>
      </c>
      <c r="D381" t="s">
        <v>1270</v>
      </c>
      <c r="E381" t="s">
        <v>1271</v>
      </c>
      <c r="F381" t="s">
        <v>17</v>
      </c>
      <c r="G381" t="s">
        <v>24</v>
      </c>
      <c r="H381">
        <v>3.94</v>
      </c>
      <c r="I381">
        <v>62454</v>
      </c>
      <c r="J381" t="s">
        <v>608</v>
      </c>
      <c r="K381">
        <v>725.7</v>
      </c>
      <c r="L381">
        <v>435.42</v>
      </c>
      <c r="M381">
        <v>6.15</v>
      </c>
      <c r="N381">
        <v>825</v>
      </c>
      <c r="O381" t="s">
        <v>27</v>
      </c>
      <c r="P381">
        <v>34560</v>
      </c>
    </row>
    <row r="382" spans="1:16" x14ac:dyDescent="0.35">
      <c r="A382">
        <v>404</v>
      </c>
      <c r="B382">
        <v>1906</v>
      </c>
      <c r="C382" t="str">
        <f>IF(book_sales[[#This Row],[Publishing Year]]&lt;1900,"Classic (Before 1900)",IF(book_sales[[#This Row],[Publishing Year]]&lt;2000,"20th Century (1900-1999)","21st Century (2000+)"))</f>
        <v>20th Century (1900-1999)</v>
      </c>
      <c r="D382" t="s">
        <v>759</v>
      </c>
      <c r="E382" t="s">
        <v>760</v>
      </c>
      <c r="F382" t="s">
        <v>23</v>
      </c>
      <c r="G382" t="s">
        <v>24</v>
      </c>
      <c r="H382">
        <v>3.94</v>
      </c>
      <c r="I382">
        <v>100223</v>
      </c>
      <c r="J382" t="s">
        <v>19</v>
      </c>
      <c r="K382">
        <v>1703.17</v>
      </c>
      <c r="L382">
        <v>1021.902</v>
      </c>
      <c r="M382">
        <v>8.39</v>
      </c>
      <c r="N382">
        <v>444</v>
      </c>
      <c r="O382" t="s">
        <v>46</v>
      </c>
      <c r="P382">
        <v>5481</v>
      </c>
    </row>
    <row r="383" spans="1:16" x14ac:dyDescent="0.35">
      <c r="A383">
        <v>261</v>
      </c>
      <c r="B383">
        <v>1812</v>
      </c>
      <c r="C383" t="str">
        <f>IF(book_sales[[#This Row],[Publishing Year]]&lt;1900,"Classic (Before 1900)",IF(book_sales[[#This Row],[Publishing Year]]&lt;2000,"20th Century (1900-1999)","21st Century (2000+)"))</f>
        <v>Classic (Before 1900)</v>
      </c>
      <c r="D383" t="s">
        <v>498</v>
      </c>
      <c r="E383" t="s">
        <v>499</v>
      </c>
      <c r="F383" t="s">
        <v>23</v>
      </c>
      <c r="G383" t="s">
        <v>24</v>
      </c>
      <c r="H383">
        <v>4.3099999999999996</v>
      </c>
      <c r="I383">
        <v>116324</v>
      </c>
      <c r="J383" t="s">
        <v>19</v>
      </c>
      <c r="K383">
        <v>1811.37</v>
      </c>
      <c r="L383">
        <v>0</v>
      </c>
      <c r="M383">
        <v>4.99</v>
      </c>
      <c r="N383">
        <v>282</v>
      </c>
      <c r="O383" t="s">
        <v>27</v>
      </c>
      <c r="P383">
        <v>363</v>
      </c>
    </row>
    <row r="384" spans="1:16" x14ac:dyDescent="0.35">
      <c r="A384">
        <v>316</v>
      </c>
      <c r="B384">
        <v>1996</v>
      </c>
      <c r="C384" t="str">
        <f>IF(book_sales[[#This Row],[Publishing Year]]&lt;1900,"Classic (Before 1900)",IF(book_sales[[#This Row],[Publishing Year]]&lt;2000,"20th Century (1900-1999)","21st Century (2000+)"))</f>
        <v>20th Century (1900-1999)</v>
      </c>
      <c r="D384" t="s">
        <v>598</v>
      </c>
      <c r="E384" t="s">
        <v>599</v>
      </c>
      <c r="F384" t="s">
        <v>17</v>
      </c>
      <c r="G384" t="s">
        <v>24</v>
      </c>
      <c r="H384">
        <v>3.84</v>
      </c>
      <c r="I384">
        <v>102733</v>
      </c>
      <c r="J384" t="s">
        <v>19</v>
      </c>
      <c r="K384">
        <v>267.3</v>
      </c>
      <c r="L384">
        <v>0</v>
      </c>
      <c r="M384">
        <v>0.99</v>
      </c>
      <c r="N384">
        <v>338</v>
      </c>
      <c r="O384" t="s">
        <v>27</v>
      </c>
      <c r="P384">
        <v>270</v>
      </c>
    </row>
    <row r="385" spans="1:16" x14ac:dyDescent="0.35">
      <c r="A385">
        <v>1050</v>
      </c>
      <c r="B385">
        <v>1959</v>
      </c>
      <c r="C385" t="str">
        <f>IF(book_sales[[#This Row],[Publishing Year]]&lt;1900,"Classic (Before 1900)",IF(book_sales[[#This Row],[Publishing Year]]&lt;2000,"20th Century (1900-1999)","21st Century (2000+)"))</f>
        <v>20th Century (1900-1999)</v>
      </c>
      <c r="D385" t="s">
        <v>1774</v>
      </c>
      <c r="E385" t="s">
        <v>1775</v>
      </c>
      <c r="F385" t="s">
        <v>92</v>
      </c>
      <c r="G385" t="s">
        <v>532</v>
      </c>
      <c r="H385">
        <v>4.18</v>
      </c>
      <c r="I385">
        <v>59963</v>
      </c>
      <c r="J385" t="s">
        <v>19</v>
      </c>
      <c r="K385">
        <v>212</v>
      </c>
      <c r="L385">
        <v>0</v>
      </c>
      <c r="M385">
        <v>2</v>
      </c>
      <c r="N385">
        <v>1243</v>
      </c>
      <c r="O385" t="s">
        <v>27</v>
      </c>
      <c r="P385">
        <v>106</v>
      </c>
    </row>
    <row r="386" spans="1:16" x14ac:dyDescent="0.35">
      <c r="A386">
        <v>401</v>
      </c>
      <c r="B386">
        <v>2001</v>
      </c>
      <c r="C386" t="str">
        <f>IF(book_sales[[#This Row],[Publishing Year]]&lt;1900,"Classic (Before 1900)",IF(book_sales[[#This Row],[Publishing Year]]&lt;2000,"20th Century (1900-1999)","21st Century (2000+)"))</f>
        <v>21st Century (2000+)</v>
      </c>
      <c r="D386" t="s">
        <v>753</v>
      </c>
      <c r="E386" t="s">
        <v>754</v>
      </c>
      <c r="F386" t="s">
        <v>23</v>
      </c>
      <c r="G386" t="s">
        <v>532</v>
      </c>
      <c r="H386">
        <v>4.04</v>
      </c>
      <c r="I386">
        <v>85277</v>
      </c>
      <c r="J386" t="s">
        <v>19</v>
      </c>
      <c r="K386">
        <v>1032.93</v>
      </c>
      <c r="L386">
        <v>0</v>
      </c>
      <c r="M386">
        <v>4.99</v>
      </c>
      <c r="N386">
        <v>436</v>
      </c>
      <c r="O386" t="s">
        <v>27</v>
      </c>
      <c r="P386">
        <v>5589</v>
      </c>
    </row>
    <row r="387" spans="1:16" x14ac:dyDescent="0.35">
      <c r="A387">
        <v>309</v>
      </c>
      <c r="B387">
        <v>1975</v>
      </c>
      <c r="C387" t="str">
        <f>IF(book_sales[[#This Row],[Publishing Year]]&lt;1900,"Classic (Before 1900)",IF(book_sales[[#This Row],[Publishing Year]]&lt;2000,"20th Century (1900-1999)","21st Century (2000+)"))</f>
        <v>20th Century (1900-1999)</v>
      </c>
      <c r="D387" t="s">
        <v>586</v>
      </c>
      <c r="E387" t="s">
        <v>587</v>
      </c>
      <c r="F387" t="s">
        <v>23</v>
      </c>
      <c r="G387" t="s">
        <v>532</v>
      </c>
      <c r="H387">
        <v>4.37</v>
      </c>
      <c r="I387">
        <v>104339</v>
      </c>
      <c r="J387" t="s">
        <v>19</v>
      </c>
      <c r="K387">
        <v>2071.56</v>
      </c>
      <c r="L387">
        <v>1242.9359999999999</v>
      </c>
      <c r="M387">
        <v>7.32</v>
      </c>
      <c r="N387">
        <v>330</v>
      </c>
      <c r="O387" t="s">
        <v>31</v>
      </c>
      <c r="P387">
        <v>283</v>
      </c>
    </row>
    <row r="388" spans="1:16" x14ac:dyDescent="0.35">
      <c r="A388">
        <v>415</v>
      </c>
      <c r="B388">
        <v>2012</v>
      </c>
      <c r="C388" t="str">
        <f>IF(book_sales[[#This Row],[Publishing Year]]&lt;1900,"Classic (Before 1900)",IF(book_sales[[#This Row],[Publishing Year]]&lt;2000,"20th Century (1900-1999)","21st Century (2000+)"))</f>
        <v>21st Century (2000+)</v>
      </c>
      <c r="D388" t="s">
        <v>777</v>
      </c>
      <c r="E388" t="s">
        <v>778</v>
      </c>
      <c r="F388" t="s">
        <v>23</v>
      </c>
      <c r="G388" t="s">
        <v>24</v>
      </c>
      <c r="H388">
        <v>3.69</v>
      </c>
      <c r="I388">
        <v>96568</v>
      </c>
      <c r="J388" t="s">
        <v>19</v>
      </c>
      <c r="K388">
        <v>1059.8599999999999</v>
      </c>
      <c r="L388">
        <v>635.91600000000005</v>
      </c>
      <c r="M388">
        <v>5.38</v>
      </c>
      <c r="N388">
        <v>455</v>
      </c>
      <c r="O388" t="s">
        <v>46</v>
      </c>
      <c r="P388">
        <v>5319</v>
      </c>
    </row>
    <row r="389" spans="1:16" x14ac:dyDescent="0.35">
      <c r="A389">
        <v>954</v>
      </c>
      <c r="B389">
        <v>1987</v>
      </c>
      <c r="C389" t="str">
        <f>IF(book_sales[[#This Row],[Publishing Year]]&lt;1900,"Classic (Before 1900)",IF(book_sales[[#This Row],[Publishing Year]]&lt;2000,"20th Century (1900-1999)","21st Century (2000+)"))</f>
        <v>20th Century (1900-1999)</v>
      </c>
      <c r="D389" t="s">
        <v>1628</v>
      </c>
      <c r="E389" t="s">
        <v>1629</v>
      </c>
      <c r="F389" t="s">
        <v>17</v>
      </c>
      <c r="G389" t="s">
        <v>24</v>
      </c>
      <c r="H389">
        <v>3.75</v>
      </c>
      <c r="I389">
        <v>61412</v>
      </c>
      <c r="J389" t="s">
        <v>19</v>
      </c>
      <c r="K389">
        <v>1088.9100000000001</v>
      </c>
      <c r="L389">
        <v>653.346</v>
      </c>
      <c r="M389">
        <v>9.99</v>
      </c>
      <c r="N389">
        <v>1127</v>
      </c>
      <c r="O389" t="s">
        <v>46</v>
      </c>
      <c r="P389">
        <v>4280</v>
      </c>
    </row>
    <row r="390" spans="1:16" x14ac:dyDescent="0.35">
      <c r="A390">
        <v>903</v>
      </c>
      <c r="B390">
        <v>1826</v>
      </c>
      <c r="C390" t="str">
        <f>IF(book_sales[[#This Row],[Publishing Year]]&lt;1900,"Classic (Before 1900)",IF(book_sales[[#This Row],[Publishing Year]]&lt;2000,"20th Century (1900-1999)","21st Century (2000+)"))</f>
        <v>Classic (Before 1900)</v>
      </c>
      <c r="D390" t="s">
        <v>1545</v>
      </c>
      <c r="E390" t="s">
        <v>1546</v>
      </c>
      <c r="F390" t="s">
        <v>23</v>
      </c>
      <c r="G390" t="s">
        <v>24</v>
      </c>
      <c r="H390">
        <v>3.69</v>
      </c>
      <c r="I390">
        <v>67632</v>
      </c>
      <c r="J390" t="s">
        <v>19</v>
      </c>
      <c r="K390">
        <v>109.89</v>
      </c>
      <c r="L390">
        <v>0</v>
      </c>
      <c r="M390">
        <v>0.99</v>
      </c>
      <c r="N390">
        <v>1058</v>
      </c>
      <c r="O390" t="s">
        <v>27</v>
      </c>
      <c r="P390">
        <v>4400</v>
      </c>
    </row>
    <row r="391" spans="1:16" x14ac:dyDescent="0.35">
      <c r="A391">
        <v>463</v>
      </c>
      <c r="B391">
        <v>1972</v>
      </c>
      <c r="C391" t="str">
        <f>IF(book_sales[[#This Row],[Publishing Year]]&lt;1900,"Classic (Before 1900)",IF(book_sales[[#This Row],[Publishing Year]]&lt;2000,"20th Century (1900-1999)","21st Century (2000+)"))</f>
        <v>20th Century (1900-1999)</v>
      </c>
      <c r="D391" t="s">
        <v>855</v>
      </c>
      <c r="E391" t="s">
        <v>856</v>
      </c>
      <c r="F391" t="s">
        <v>23</v>
      </c>
      <c r="G391" t="s">
        <v>532</v>
      </c>
      <c r="H391">
        <v>4.3099999999999996</v>
      </c>
      <c r="I391">
        <v>64779</v>
      </c>
      <c r="J391" t="s">
        <v>19</v>
      </c>
      <c r="K391">
        <v>1024.29</v>
      </c>
      <c r="L391">
        <v>0</v>
      </c>
      <c r="M391">
        <v>5.99</v>
      </c>
      <c r="N391">
        <v>514</v>
      </c>
      <c r="O391" t="s">
        <v>27</v>
      </c>
      <c r="P391">
        <v>4617</v>
      </c>
    </row>
    <row r="392" spans="1:16" x14ac:dyDescent="0.35">
      <c r="A392">
        <v>683</v>
      </c>
      <c r="B392">
        <v>1922</v>
      </c>
      <c r="C392" t="str">
        <f>IF(book_sales[[#This Row],[Publishing Year]]&lt;1900,"Classic (Before 1900)",IF(book_sales[[#This Row],[Publishing Year]]&lt;2000,"20th Century (1900-1999)","21st Century (2000+)"))</f>
        <v>20th Century (1900-1999)</v>
      </c>
      <c r="D392" t="s">
        <v>1216</v>
      </c>
      <c r="E392" t="s">
        <v>1217</v>
      </c>
      <c r="F392" t="s">
        <v>23</v>
      </c>
      <c r="G392" t="s">
        <v>24</v>
      </c>
      <c r="H392">
        <v>3.74</v>
      </c>
      <c r="I392">
        <v>76791</v>
      </c>
      <c r="J392" t="s">
        <v>19</v>
      </c>
      <c r="K392">
        <v>117.81</v>
      </c>
      <c r="L392">
        <v>0</v>
      </c>
      <c r="M392">
        <v>0.99</v>
      </c>
      <c r="N392">
        <v>786</v>
      </c>
      <c r="O392" t="s">
        <v>27</v>
      </c>
      <c r="P392">
        <v>36936</v>
      </c>
    </row>
    <row r="393" spans="1:16" x14ac:dyDescent="0.35">
      <c r="A393">
        <v>604</v>
      </c>
      <c r="B393">
        <v>1914</v>
      </c>
      <c r="C393" t="str">
        <f>IF(book_sales[[#This Row],[Publishing Year]]&lt;1900,"Classic (Before 1900)",IF(book_sales[[#This Row],[Publishing Year]]&lt;2000,"20th Century (1900-1999)","21st Century (2000+)"))</f>
        <v>20th Century (1900-1999)</v>
      </c>
      <c r="D393" t="s">
        <v>1083</v>
      </c>
      <c r="E393" t="s">
        <v>1084</v>
      </c>
      <c r="F393" t="s">
        <v>23</v>
      </c>
      <c r="G393" t="s">
        <v>24</v>
      </c>
      <c r="H393">
        <v>3.85</v>
      </c>
      <c r="I393">
        <v>73140</v>
      </c>
      <c r="J393" t="s">
        <v>30</v>
      </c>
      <c r="K393">
        <v>397.67</v>
      </c>
      <c r="L393">
        <v>238.602</v>
      </c>
      <c r="M393">
        <v>2.99</v>
      </c>
      <c r="N393">
        <v>690</v>
      </c>
      <c r="O393" t="s">
        <v>46</v>
      </c>
      <c r="P393">
        <v>51408</v>
      </c>
    </row>
    <row r="394" spans="1:16" x14ac:dyDescent="0.35">
      <c r="A394">
        <v>428</v>
      </c>
      <c r="B394">
        <v>1916</v>
      </c>
      <c r="C394" t="str">
        <f>IF(book_sales[[#This Row],[Publishing Year]]&lt;1900,"Classic (Before 1900)",IF(book_sales[[#This Row],[Publishing Year]]&lt;2000,"20th Century (1900-1999)","21st Century (2000+)"))</f>
        <v>20th Century (1900-1999)</v>
      </c>
      <c r="D394" t="s">
        <v>797</v>
      </c>
      <c r="E394" t="s">
        <v>798</v>
      </c>
      <c r="F394" t="s">
        <v>23</v>
      </c>
      <c r="G394" t="s">
        <v>24</v>
      </c>
      <c r="H394">
        <v>3.6</v>
      </c>
      <c r="I394">
        <v>92569</v>
      </c>
      <c r="J394" t="s">
        <v>30</v>
      </c>
      <c r="K394">
        <v>565.11</v>
      </c>
      <c r="L394">
        <v>339.06599999999997</v>
      </c>
      <c r="M394">
        <v>2.99</v>
      </c>
      <c r="N394">
        <v>472</v>
      </c>
      <c r="O394" t="s">
        <v>46</v>
      </c>
      <c r="P394">
        <v>5103</v>
      </c>
    </row>
    <row r="395" spans="1:16" x14ac:dyDescent="0.35">
      <c r="A395">
        <v>537</v>
      </c>
      <c r="B395">
        <v>1996</v>
      </c>
      <c r="C395" t="str">
        <f>IF(book_sales[[#This Row],[Publishing Year]]&lt;1900,"Classic (Before 1900)",IF(book_sales[[#This Row],[Publishing Year]]&lt;2000,"20th Century (1900-1999)","21st Century (2000+)"))</f>
        <v>20th Century (1900-1999)</v>
      </c>
      <c r="D395" t="s">
        <v>972</v>
      </c>
      <c r="E395" t="s">
        <v>973</v>
      </c>
      <c r="F395" t="s">
        <v>17</v>
      </c>
      <c r="G395" t="s">
        <v>532</v>
      </c>
      <c r="H395">
        <v>4.0599999999999996</v>
      </c>
      <c r="I395">
        <v>80906</v>
      </c>
      <c r="J395" t="s">
        <v>19</v>
      </c>
      <c r="K395">
        <v>151.47</v>
      </c>
      <c r="L395">
        <v>0</v>
      </c>
      <c r="M395">
        <v>0.99</v>
      </c>
      <c r="N395">
        <v>598</v>
      </c>
      <c r="O395" t="s">
        <v>27</v>
      </c>
      <c r="P395">
        <v>4131</v>
      </c>
    </row>
    <row r="396" spans="1:16" x14ac:dyDescent="0.35">
      <c r="A396">
        <v>38</v>
      </c>
      <c r="B396">
        <v>2005</v>
      </c>
      <c r="C396" t="str">
        <f>IF(book_sales[[#This Row],[Publishing Year]]&lt;1900,"Classic (Before 1900)",IF(book_sales[[#This Row],[Publishing Year]]&lt;2000,"20th Century (1900-1999)","21st Century (2000+)"))</f>
        <v>21st Century (2000+)</v>
      </c>
      <c r="D396" t="s">
        <v>101</v>
      </c>
      <c r="E396" t="s">
        <v>102</v>
      </c>
      <c r="F396" t="s">
        <v>23</v>
      </c>
      <c r="G396" t="s">
        <v>24</v>
      </c>
      <c r="H396">
        <v>4.08</v>
      </c>
      <c r="I396">
        <v>172302</v>
      </c>
      <c r="J396" t="s">
        <v>19</v>
      </c>
      <c r="K396">
        <v>1949.31</v>
      </c>
      <c r="L396">
        <v>0</v>
      </c>
      <c r="M396">
        <v>0.99</v>
      </c>
      <c r="N396">
        <v>37</v>
      </c>
      <c r="O396" t="s">
        <v>27</v>
      </c>
      <c r="P396">
        <v>1969</v>
      </c>
    </row>
    <row r="397" spans="1:16" x14ac:dyDescent="0.35">
      <c r="A397">
        <v>143</v>
      </c>
      <c r="B397">
        <v>2001</v>
      </c>
      <c r="C397" t="str">
        <f>IF(book_sales[[#This Row],[Publishing Year]]&lt;1900,"Classic (Before 1900)",IF(book_sales[[#This Row],[Publishing Year]]&lt;2000,"20th Century (1900-1999)","21st Century (2000+)"))</f>
        <v>21st Century (2000+)</v>
      </c>
      <c r="D397" t="s">
        <v>296</v>
      </c>
      <c r="E397" t="s">
        <v>102</v>
      </c>
      <c r="F397" t="s">
        <v>23</v>
      </c>
      <c r="G397" t="s">
        <v>24</v>
      </c>
      <c r="H397">
        <v>4.16</v>
      </c>
      <c r="I397">
        <v>121398</v>
      </c>
      <c r="J397" t="s">
        <v>19</v>
      </c>
      <c r="K397">
        <v>3717.55</v>
      </c>
      <c r="L397">
        <v>2230.5300000000002</v>
      </c>
      <c r="M397">
        <v>4.99</v>
      </c>
      <c r="N397">
        <v>151</v>
      </c>
      <c r="O397" t="s">
        <v>46</v>
      </c>
      <c r="P397">
        <v>745</v>
      </c>
    </row>
    <row r="398" spans="1:16" x14ac:dyDescent="0.35">
      <c r="A398">
        <v>572</v>
      </c>
      <c r="B398">
        <v>2001</v>
      </c>
      <c r="C398" t="str">
        <f>IF(book_sales[[#This Row],[Publishing Year]]&lt;1900,"Classic (Before 1900)",IF(book_sales[[#This Row],[Publishing Year]]&lt;2000,"20th Century (1900-1999)","21st Century (2000+)"))</f>
        <v>21st Century (2000+)</v>
      </c>
      <c r="D398" t="s">
        <v>1036</v>
      </c>
      <c r="E398" t="s">
        <v>102</v>
      </c>
      <c r="G398" t="s">
        <v>532</v>
      </c>
      <c r="H398">
        <v>4.1500000000000004</v>
      </c>
      <c r="I398">
        <v>77538</v>
      </c>
      <c r="J398" t="s">
        <v>19</v>
      </c>
      <c r="K398">
        <v>868.55</v>
      </c>
      <c r="L398">
        <v>521.13</v>
      </c>
      <c r="M398">
        <v>5.99</v>
      </c>
      <c r="N398">
        <v>636</v>
      </c>
      <c r="O398" t="s">
        <v>31</v>
      </c>
      <c r="P398">
        <v>3915</v>
      </c>
    </row>
    <row r="399" spans="1:16" x14ac:dyDescent="0.35">
      <c r="A399">
        <v>820</v>
      </c>
      <c r="B399">
        <v>2006</v>
      </c>
      <c r="C399" t="str">
        <f>IF(book_sales[[#This Row],[Publishing Year]]&lt;1900,"Classic (Before 1900)",IF(book_sales[[#This Row],[Publishing Year]]&lt;2000,"20th Century (1900-1999)","21st Century (2000+)"))</f>
        <v>21st Century (2000+)</v>
      </c>
      <c r="D399" t="s">
        <v>1429</v>
      </c>
      <c r="E399" t="s">
        <v>102</v>
      </c>
      <c r="F399" t="s">
        <v>17</v>
      </c>
      <c r="G399" t="s">
        <v>532</v>
      </c>
      <c r="H399">
        <v>4.16</v>
      </c>
      <c r="I399">
        <v>90157</v>
      </c>
      <c r="J399" t="s">
        <v>30</v>
      </c>
      <c r="K399">
        <v>340.86</v>
      </c>
      <c r="L399">
        <v>204.51599999999999</v>
      </c>
      <c r="M399">
        <v>2.99</v>
      </c>
      <c r="N399">
        <v>958</v>
      </c>
      <c r="O399" t="s">
        <v>27</v>
      </c>
      <c r="P399">
        <v>2889</v>
      </c>
    </row>
    <row r="400" spans="1:16" x14ac:dyDescent="0.35">
      <c r="A400">
        <v>1004</v>
      </c>
      <c r="B400">
        <v>2006</v>
      </c>
      <c r="C400" t="str">
        <f>IF(book_sales[[#This Row],[Publishing Year]]&lt;1900,"Classic (Before 1900)",IF(book_sales[[#This Row],[Publishing Year]]&lt;2000,"20th Century (1900-1999)","21st Century (2000+)"))</f>
        <v>21st Century (2000+)</v>
      </c>
      <c r="D400" t="s">
        <v>1705</v>
      </c>
      <c r="E400" t="s">
        <v>102</v>
      </c>
      <c r="F400" t="s">
        <v>17</v>
      </c>
      <c r="G400" t="s">
        <v>532</v>
      </c>
      <c r="H400">
        <v>4.16</v>
      </c>
      <c r="I400">
        <v>75436</v>
      </c>
      <c r="J400" t="s">
        <v>19</v>
      </c>
      <c r="K400">
        <v>748.44</v>
      </c>
      <c r="L400">
        <v>449.06400000000002</v>
      </c>
      <c r="M400">
        <v>6.93</v>
      </c>
      <c r="N400">
        <v>1190</v>
      </c>
      <c r="O400" t="s">
        <v>31</v>
      </c>
      <c r="P400">
        <v>108</v>
      </c>
    </row>
    <row r="401" spans="1:16" x14ac:dyDescent="0.35">
      <c r="A401">
        <v>848</v>
      </c>
      <c r="B401">
        <v>2002</v>
      </c>
      <c r="C401" t="str">
        <f>IF(book_sales[[#This Row],[Publishing Year]]&lt;1900,"Classic (Before 1900)",IF(book_sales[[#This Row],[Publishing Year]]&lt;2000,"20th Century (1900-1999)","21st Century (2000+)"))</f>
        <v>21st Century (2000+)</v>
      </c>
      <c r="D401" t="s">
        <v>1468</v>
      </c>
      <c r="E401" t="s">
        <v>1469</v>
      </c>
      <c r="F401" t="s">
        <v>23</v>
      </c>
      <c r="G401" t="s">
        <v>532</v>
      </c>
      <c r="H401">
        <v>4.01</v>
      </c>
      <c r="I401">
        <v>68834</v>
      </c>
      <c r="J401" t="s">
        <v>19</v>
      </c>
      <c r="K401">
        <v>1388.77</v>
      </c>
      <c r="L401">
        <v>833.26199999999994</v>
      </c>
      <c r="M401">
        <v>12.29</v>
      </c>
      <c r="N401">
        <v>993</v>
      </c>
      <c r="O401" t="s">
        <v>20</v>
      </c>
      <c r="P401">
        <v>2862</v>
      </c>
    </row>
    <row r="402" spans="1:16" x14ac:dyDescent="0.35">
      <c r="A402">
        <v>729</v>
      </c>
      <c r="B402">
        <v>2002</v>
      </c>
      <c r="C402" t="str">
        <f>IF(book_sales[[#This Row],[Publishing Year]]&lt;1900,"Classic (Before 1900)",IF(book_sales[[#This Row],[Publishing Year]]&lt;2000,"20th Century (1900-1999)","21st Century (2000+)"))</f>
        <v>21st Century (2000+)</v>
      </c>
      <c r="D402" t="s">
        <v>1287</v>
      </c>
      <c r="E402" t="s">
        <v>1288</v>
      </c>
      <c r="F402" t="s">
        <v>23</v>
      </c>
      <c r="G402" t="s">
        <v>24</v>
      </c>
      <c r="H402">
        <v>3.82</v>
      </c>
      <c r="I402">
        <v>68676</v>
      </c>
      <c r="J402" t="s">
        <v>19</v>
      </c>
      <c r="K402">
        <v>466.83</v>
      </c>
      <c r="L402">
        <v>0</v>
      </c>
      <c r="M402">
        <v>3.99</v>
      </c>
      <c r="N402">
        <v>837</v>
      </c>
      <c r="O402" t="s">
        <v>27</v>
      </c>
      <c r="P402">
        <v>33480</v>
      </c>
    </row>
    <row r="403" spans="1:16" x14ac:dyDescent="0.35">
      <c r="A403">
        <v>548</v>
      </c>
      <c r="B403">
        <v>1993</v>
      </c>
      <c r="C403" t="str">
        <f>IF(book_sales[[#This Row],[Publishing Year]]&lt;1900,"Classic (Before 1900)",IF(book_sales[[#This Row],[Publishing Year]]&lt;2000,"20th Century (1900-1999)","21st Century (2000+)"))</f>
        <v>20th Century (1900-1999)</v>
      </c>
      <c r="D403" t="s">
        <v>993</v>
      </c>
      <c r="E403" t="s">
        <v>994</v>
      </c>
      <c r="F403" t="s">
        <v>17</v>
      </c>
      <c r="G403" t="s">
        <v>24</v>
      </c>
      <c r="H403">
        <v>3.6</v>
      </c>
      <c r="I403">
        <v>72675</v>
      </c>
      <c r="J403" t="s">
        <v>19</v>
      </c>
      <c r="K403">
        <v>594.51</v>
      </c>
      <c r="L403">
        <v>356.70600000000002</v>
      </c>
      <c r="M403">
        <v>3.99</v>
      </c>
      <c r="N403">
        <v>615</v>
      </c>
      <c r="O403" t="s">
        <v>34</v>
      </c>
      <c r="P403">
        <v>4023</v>
      </c>
    </row>
    <row r="404" spans="1:16" x14ac:dyDescent="0.35">
      <c r="A404">
        <v>732</v>
      </c>
      <c r="B404">
        <v>2011</v>
      </c>
      <c r="C404" t="str">
        <f>IF(book_sales[[#This Row],[Publishing Year]]&lt;1900,"Classic (Before 1900)",IF(book_sales[[#This Row],[Publishing Year]]&lt;2000,"20th Century (1900-1999)","21st Century (2000+)"))</f>
        <v>21st Century (2000+)</v>
      </c>
      <c r="D404" t="s">
        <v>1291</v>
      </c>
      <c r="E404" t="s">
        <v>1292</v>
      </c>
      <c r="F404" t="s">
        <v>23</v>
      </c>
      <c r="G404" t="s">
        <v>532</v>
      </c>
      <c r="H404">
        <v>4.2</v>
      </c>
      <c r="I404">
        <v>68416</v>
      </c>
      <c r="J404" t="s">
        <v>41</v>
      </c>
      <c r="K404">
        <v>1689.48</v>
      </c>
      <c r="L404">
        <v>1013.688</v>
      </c>
      <c r="M404">
        <v>14.44</v>
      </c>
      <c r="N404">
        <v>840</v>
      </c>
      <c r="O404" t="s">
        <v>20</v>
      </c>
      <c r="P404">
        <v>33048</v>
      </c>
    </row>
    <row r="405" spans="1:16" x14ac:dyDescent="0.35">
      <c r="A405">
        <v>330</v>
      </c>
      <c r="B405">
        <v>2013</v>
      </c>
      <c r="C405" t="str">
        <f>IF(book_sales[[#This Row],[Publishing Year]]&lt;1900,"Classic (Before 1900)",IF(book_sales[[#This Row],[Publishing Year]]&lt;2000,"20th Century (1900-1999)","21st Century (2000+)"))</f>
        <v>21st Century (2000+)</v>
      </c>
      <c r="D405" t="s">
        <v>626</v>
      </c>
      <c r="E405" t="s">
        <v>627</v>
      </c>
      <c r="F405" t="s">
        <v>23</v>
      </c>
      <c r="G405" t="s">
        <v>532</v>
      </c>
      <c r="H405">
        <v>4.2300000000000004</v>
      </c>
      <c r="I405">
        <v>134022</v>
      </c>
      <c r="J405" t="s">
        <v>19</v>
      </c>
      <c r="K405">
        <v>3221.52</v>
      </c>
      <c r="L405">
        <v>0</v>
      </c>
      <c r="M405">
        <v>12.99</v>
      </c>
      <c r="N405">
        <v>353</v>
      </c>
      <c r="O405" t="s">
        <v>27</v>
      </c>
      <c r="P405">
        <v>248</v>
      </c>
    </row>
    <row r="406" spans="1:16" x14ac:dyDescent="0.35">
      <c r="A406">
        <v>419</v>
      </c>
      <c r="B406">
        <v>2014</v>
      </c>
      <c r="C406" t="str">
        <f>IF(book_sales[[#This Row],[Publishing Year]]&lt;1900,"Classic (Before 1900)",IF(book_sales[[#This Row],[Publishing Year]]&lt;2000,"20th Century (1900-1999)","21st Century (2000+)"))</f>
        <v>21st Century (2000+)</v>
      </c>
      <c r="D406" t="s">
        <v>784</v>
      </c>
      <c r="E406" t="s">
        <v>785</v>
      </c>
      <c r="F406" t="s">
        <v>23</v>
      </c>
      <c r="G406" t="s">
        <v>532</v>
      </c>
      <c r="H406">
        <v>4.1399999999999997</v>
      </c>
      <c r="I406">
        <v>140937</v>
      </c>
      <c r="J406" t="s">
        <v>19</v>
      </c>
      <c r="K406">
        <v>583.04999999999995</v>
      </c>
      <c r="L406">
        <v>349.83</v>
      </c>
      <c r="M406">
        <v>2.99</v>
      </c>
      <c r="N406">
        <v>460</v>
      </c>
      <c r="O406" t="s">
        <v>66</v>
      </c>
      <c r="P406">
        <v>5265</v>
      </c>
    </row>
    <row r="407" spans="1:16" x14ac:dyDescent="0.35">
      <c r="A407">
        <v>246</v>
      </c>
      <c r="B407">
        <v>2001</v>
      </c>
      <c r="C407" t="str">
        <f>IF(book_sales[[#This Row],[Publishing Year]]&lt;1900,"Classic (Before 1900)",IF(book_sales[[#This Row],[Publishing Year]]&lt;2000,"20th Century (1900-1999)","21st Century (2000+)"))</f>
        <v>21st Century (2000+)</v>
      </c>
      <c r="D407" t="s">
        <v>471</v>
      </c>
      <c r="E407" t="s">
        <v>472</v>
      </c>
      <c r="F407" t="s">
        <v>17</v>
      </c>
      <c r="G407" t="s">
        <v>24</v>
      </c>
      <c r="H407">
        <v>3.62</v>
      </c>
      <c r="I407">
        <v>101436</v>
      </c>
      <c r="J407" t="s">
        <v>19</v>
      </c>
      <c r="K407">
        <v>758.19</v>
      </c>
      <c r="L407">
        <v>0</v>
      </c>
      <c r="M407">
        <v>1.99</v>
      </c>
      <c r="N407">
        <v>271</v>
      </c>
      <c r="O407" t="s">
        <v>27</v>
      </c>
      <c r="P407">
        <v>381</v>
      </c>
    </row>
    <row r="408" spans="1:16" x14ac:dyDescent="0.35">
      <c r="A408">
        <v>580</v>
      </c>
      <c r="B408">
        <v>1999</v>
      </c>
      <c r="C408" t="str">
        <f>IF(book_sales[[#This Row],[Publishing Year]]&lt;1900,"Classic (Before 1900)",IF(book_sales[[#This Row],[Publishing Year]]&lt;2000,"20th Century (1900-1999)","21st Century (2000+)"))</f>
        <v>20th Century (1900-1999)</v>
      </c>
      <c r="D408" t="s">
        <v>1047</v>
      </c>
      <c r="E408" t="s">
        <v>472</v>
      </c>
      <c r="F408" t="s">
        <v>23</v>
      </c>
      <c r="G408" t="s">
        <v>18</v>
      </c>
      <c r="H408">
        <v>3.41</v>
      </c>
      <c r="I408">
        <v>78132</v>
      </c>
      <c r="J408" t="s">
        <v>19</v>
      </c>
      <c r="K408">
        <v>562.59</v>
      </c>
      <c r="L408">
        <v>0</v>
      </c>
      <c r="M408">
        <v>3.99</v>
      </c>
      <c r="N408">
        <v>651</v>
      </c>
      <c r="O408" t="s">
        <v>27</v>
      </c>
      <c r="P408">
        <v>61128</v>
      </c>
    </row>
    <row r="409" spans="1:16" x14ac:dyDescent="0.35">
      <c r="A409">
        <v>1036</v>
      </c>
      <c r="B409">
        <v>1992</v>
      </c>
      <c r="C409" t="str">
        <f>IF(book_sales[[#This Row],[Publishing Year]]&lt;1900,"Classic (Before 1900)",IF(book_sales[[#This Row],[Publishing Year]]&lt;2000,"20th Century (1900-1999)","21st Century (2000+)"))</f>
        <v>20th Century (1900-1999)</v>
      </c>
      <c r="D409" t="s">
        <v>1751</v>
      </c>
      <c r="E409" t="s">
        <v>1752</v>
      </c>
      <c r="F409" t="s">
        <v>92</v>
      </c>
      <c r="G409" t="s">
        <v>24</v>
      </c>
      <c r="H409">
        <v>3.78</v>
      </c>
      <c r="I409">
        <v>61347</v>
      </c>
      <c r="J409" t="s">
        <v>19</v>
      </c>
      <c r="K409">
        <v>324.20999999999998</v>
      </c>
      <c r="L409">
        <v>194.52600000000001</v>
      </c>
      <c r="M409">
        <v>3.03</v>
      </c>
      <c r="N409">
        <v>1223</v>
      </c>
      <c r="O409" t="s">
        <v>27</v>
      </c>
      <c r="P409">
        <v>107</v>
      </c>
    </row>
    <row r="410" spans="1:16" x14ac:dyDescent="0.35">
      <c r="A410">
        <v>698</v>
      </c>
      <c r="B410">
        <v>1993</v>
      </c>
      <c r="C410" t="str">
        <f>IF(book_sales[[#This Row],[Publishing Year]]&lt;1900,"Classic (Before 1900)",IF(book_sales[[#This Row],[Publishing Year]]&lt;2000,"20th Century (1900-1999)","21st Century (2000+)"))</f>
        <v>20th Century (1900-1999)</v>
      </c>
      <c r="D410" t="s">
        <v>1237</v>
      </c>
      <c r="E410" t="s">
        <v>1238</v>
      </c>
      <c r="F410" t="s">
        <v>17</v>
      </c>
      <c r="G410" t="s">
        <v>532</v>
      </c>
      <c r="H410">
        <v>4.22</v>
      </c>
      <c r="I410">
        <v>87423</v>
      </c>
      <c r="J410" t="s">
        <v>19</v>
      </c>
      <c r="K410">
        <v>116.82</v>
      </c>
      <c r="L410">
        <v>70.091999999999999</v>
      </c>
      <c r="M410">
        <v>0.99</v>
      </c>
      <c r="N410">
        <v>803</v>
      </c>
      <c r="O410" t="s">
        <v>27</v>
      </c>
      <c r="P410">
        <v>36072</v>
      </c>
    </row>
    <row r="411" spans="1:16" x14ac:dyDescent="0.35">
      <c r="A411">
        <v>381</v>
      </c>
      <c r="B411">
        <v>1996</v>
      </c>
      <c r="C411" t="str">
        <f>IF(book_sales[[#This Row],[Publishing Year]]&lt;1900,"Classic (Before 1900)",IF(book_sales[[#This Row],[Publishing Year]]&lt;2000,"20th Century (1900-1999)","21st Century (2000+)"))</f>
        <v>20th Century (1900-1999)</v>
      </c>
      <c r="D411" t="s">
        <v>714</v>
      </c>
      <c r="E411" t="s">
        <v>715</v>
      </c>
      <c r="F411" t="s">
        <v>23</v>
      </c>
      <c r="G411" t="s">
        <v>532</v>
      </c>
      <c r="H411">
        <v>4.1100000000000003</v>
      </c>
      <c r="I411">
        <v>116171</v>
      </c>
      <c r="J411" t="s">
        <v>41</v>
      </c>
      <c r="K411">
        <v>2177.8200000000002</v>
      </c>
      <c r="L411">
        <v>1306.692</v>
      </c>
      <c r="M411">
        <v>9.99</v>
      </c>
      <c r="N411">
        <v>414</v>
      </c>
      <c r="O411" t="s">
        <v>27</v>
      </c>
      <c r="P411">
        <v>5886</v>
      </c>
    </row>
    <row r="412" spans="1:16" x14ac:dyDescent="0.35">
      <c r="A412">
        <v>465</v>
      </c>
      <c r="B412">
        <v>1997</v>
      </c>
      <c r="C412" t="str">
        <f>IF(book_sales[[#This Row],[Publishing Year]]&lt;1900,"Classic (Before 1900)",IF(book_sales[[#This Row],[Publishing Year]]&lt;2000,"20th Century (1900-1999)","21st Century (2000+)"))</f>
        <v>20th Century (1900-1999)</v>
      </c>
      <c r="D412" t="s">
        <v>859</v>
      </c>
      <c r="E412" t="s">
        <v>715</v>
      </c>
      <c r="F412" t="s">
        <v>17</v>
      </c>
      <c r="G412" t="s">
        <v>532</v>
      </c>
      <c r="H412">
        <v>4.1399999999999997</v>
      </c>
      <c r="I412">
        <v>113400</v>
      </c>
      <c r="J412" t="s">
        <v>19</v>
      </c>
      <c r="K412">
        <v>1109.79</v>
      </c>
      <c r="L412">
        <v>665.87400000000002</v>
      </c>
      <c r="M412">
        <v>6.49</v>
      </c>
      <c r="N412">
        <v>517</v>
      </c>
      <c r="O412" t="s">
        <v>31</v>
      </c>
      <c r="P412">
        <v>4617</v>
      </c>
    </row>
    <row r="413" spans="1:16" x14ac:dyDescent="0.35">
      <c r="A413">
        <v>536</v>
      </c>
      <c r="B413">
        <v>1998</v>
      </c>
      <c r="C413" t="str">
        <f>IF(book_sales[[#This Row],[Publishing Year]]&lt;1900,"Classic (Before 1900)",IF(book_sales[[#This Row],[Publishing Year]]&lt;2000,"20th Century (1900-1999)","21st Century (2000+)"))</f>
        <v>20th Century (1900-1999)</v>
      </c>
      <c r="D413" t="s">
        <v>971</v>
      </c>
      <c r="E413" t="s">
        <v>715</v>
      </c>
      <c r="F413" t="s">
        <v>17</v>
      </c>
      <c r="G413" t="s">
        <v>532</v>
      </c>
      <c r="H413">
        <v>4.17</v>
      </c>
      <c r="I413">
        <v>106871</v>
      </c>
      <c r="J413" t="s">
        <v>19</v>
      </c>
      <c r="K413">
        <v>151.47</v>
      </c>
      <c r="L413">
        <v>90.882000000000005</v>
      </c>
      <c r="M413">
        <v>0.99</v>
      </c>
      <c r="N413">
        <v>597</v>
      </c>
      <c r="O413" t="s">
        <v>27</v>
      </c>
      <c r="P413">
        <v>4131</v>
      </c>
    </row>
    <row r="414" spans="1:16" x14ac:dyDescent="0.35">
      <c r="A414">
        <v>620</v>
      </c>
      <c r="B414">
        <v>2000</v>
      </c>
      <c r="C414" t="str">
        <f>IF(book_sales[[#This Row],[Publishing Year]]&lt;1900,"Classic (Before 1900)",IF(book_sales[[#This Row],[Publishing Year]]&lt;2000,"20th Century (1900-1999)","21st Century (2000+)"))</f>
        <v>21st Century (2000+)</v>
      </c>
      <c r="D414" t="s">
        <v>1111</v>
      </c>
      <c r="E414" t="s">
        <v>715</v>
      </c>
      <c r="F414" t="s">
        <v>23</v>
      </c>
      <c r="G414" t="s">
        <v>532</v>
      </c>
      <c r="H414">
        <v>4.18</v>
      </c>
      <c r="I414">
        <v>99329</v>
      </c>
      <c r="J414" t="s">
        <v>19</v>
      </c>
      <c r="K414">
        <v>514.71</v>
      </c>
      <c r="L414">
        <v>0</v>
      </c>
      <c r="M414">
        <v>3.99</v>
      </c>
      <c r="N414">
        <v>705</v>
      </c>
      <c r="O414" t="s">
        <v>27</v>
      </c>
      <c r="P414">
        <v>48600</v>
      </c>
    </row>
    <row r="415" spans="1:16" x14ac:dyDescent="0.35">
      <c r="A415">
        <v>650</v>
      </c>
      <c r="B415">
        <v>1999</v>
      </c>
      <c r="C415" t="str">
        <f>IF(book_sales[[#This Row],[Publishing Year]]&lt;1900,"Classic (Before 1900)",IF(book_sales[[#This Row],[Publishing Year]]&lt;2000,"20th Century (1900-1999)","21st Century (2000+)"))</f>
        <v>20th Century (1900-1999)</v>
      </c>
      <c r="D415" t="s">
        <v>1159</v>
      </c>
      <c r="E415" t="s">
        <v>715</v>
      </c>
      <c r="F415" t="s">
        <v>23</v>
      </c>
      <c r="G415" t="s">
        <v>532</v>
      </c>
      <c r="H415">
        <v>4.17</v>
      </c>
      <c r="I415">
        <v>92737</v>
      </c>
      <c r="J415" t="s">
        <v>608</v>
      </c>
      <c r="K415">
        <v>671.55</v>
      </c>
      <c r="L415">
        <v>402.93</v>
      </c>
      <c r="M415">
        <v>5.55</v>
      </c>
      <c r="N415">
        <v>745</v>
      </c>
      <c r="O415" t="s">
        <v>27</v>
      </c>
      <c r="P415">
        <v>43200</v>
      </c>
    </row>
    <row r="416" spans="1:16" x14ac:dyDescent="0.35">
      <c r="A416">
        <v>695</v>
      </c>
      <c r="B416">
        <v>2001</v>
      </c>
      <c r="C416" t="str">
        <f>IF(book_sales[[#This Row],[Publishing Year]]&lt;1900,"Classic (Before 1900)",IF(book_sales[[#This Row],[Publishing Year]]&lt;2000,"20th Century (1900-1999)","21st Century (2000+)"))</f>
        <v>21st Century (2000+)</v>
      </c>
      <c r="D416" t="s">
        <v>1235</v>
      </c>
      <c r="E416" t="s">
        <v>715</v>
      </c>
      <c r="F416" t="s">
        <v>17</v>
      </c>
      <c r="G416" t="s">
        <v>532</v>
      </c>
      <c r="H416">
        <v>4.1500000000000004</v>
      </c>
      <c r="I416">
        <v>94506</v>
      </c>
      <c r="J416" t="s">
        <v>19</v>
      </c>
      <c r="K416">
        <v>1320.42</v>
      </c>
      <c r="L416">
        <v>792.25199999999995</v>
      </c>
      <c r="M416">
        <v>11.19</v>
      </c>
      <c r="N416">
        <v>800</v>
      </c>
      <c r="O416" t="s">
        <v>20</v>
      </c>
      <c r="P416">
        <v>36072</v>
      </c>
    </row>
    <row r="417" spans="1:16" x14ac:dyDescent="0.35">
      <c r="A417">
        <v>736</v>
      </c>
      <c r="B417">
        <v>2003</v>
      </c>
      <c r="C417" t="str">
        <f>IF(book_sales[[#This Row],[Publishing Year]]&lt;1900,"Classic (Before 1900)",IF(book_sales[[#This Row],[Publishing Year]]&lt;2000,"20th Century (1900-1999)","21st Century (2000+)"))</f>
        <v>21st Century (2000+)</v>
      </c>
      <c r="D417" t="s">
        <v>1298</v>
      </c>
      <c r="E417" t="s">
        <v>715</v>
      </c>
      <c r="F417" t="s">
        <v>23</v>
      </c>
      <c r="G417" t="s">
        <v>532</v>
      </c>
      <c r="H417">
        <v>4.16</v>
      </c>
      <c r="I417">
        <v>86963</v>
      </c>
      <c r="J417" t="s">
        <v>19</v>
      </c>
      <c r="K417">
        <v>1402.83</v>
      </c>
      <c r="L417">
        <v>841.69799999999998</v>
      </c>
      <c r="M417">
        <v>11.99</v>
      </c>
      <c r="N417">
        <v>844</v>
      </c>
      <c r="O417" t="s">
        <v>34</v>
      </c>
      <c r="P417">
        <v>32832</v>
      </c>
    </row>
    <row r="418" spans="1:16" x14ac:dyDescent="0.35">
      <c r="A418">
        <v>846</v>
      </c>
      <c r="B418">
        <v>2002</v>
      </c>
      <c r="C418" t="str">
        <f>IF(book_sales[[#This Row],[Publishing Year]]&lt;1900,"Classic (Before 1900)",IF(book_sales[[#This Row],[Publishing Year]]&lt;2000,"20th Century (1900-1999)","21st Century (2000+)"))</f>
        <v>21st Century (2000+)</v>
      </c>
      <c r="D418" t="s">
        <v>1465</v>
      </c>
      <c r="E418" t="s">
        <v>715</v>
      </c>
      <c r="G418" t="s">
        <v>532</v>
      </c>
      <c r="H418">
        <v>4.34</v>
      </c>
      <c r="I418">
        <v>63691</v>
      </c>
      <c r="J418" t="s">
        <v>19</v>
      </c>
      <c r="K418">
        <v>169.5</v>
      </c>
      <c r="L418">
        <v>101.7</v>
      </c>
      <c r="M418">
        <v>1.5</v>
      </c>
      <c r="N418">
        <v>992</v>
      </c>
      <c r="O418" t="s">
        <v>20</v>
      </c>
      <c r="P418">
        <v>2889</v>
      </c>
    </row>
    <row r="419" spans="1:16" x14ac:dyDescent="0.35">
      <c r="A419">
        <v>859</v>
      </c>
      <c r="B419">
        <v>2005</v>
      </c>
      <c r="C419" t="str">
        <f>IF(book_sales[[#This Row],[Publishing Year]]&lt;1900,"Classic (Before 1900)",IF(book_sales[[#This Row],[Publishing Year]]&lt;2000,"20th Century (1900-1999)","21st Century (2000+)"))</f>
        <v>21st Century (2000+)</v>
      </c>
      <c r="D419" t="s">
        <v>1483</v>
      </c>
      <c r="E419" t="s">
        <v>715</v>
      </c>
      <c r="F419" t="s">
        <v>17</v>
      </c>
      <c r="G419" t="s">
        <v>532</v>
      </c>
      <c r="H419">
        <v>4.1500000000000004</v>
      </c>
      <c r="I419">
        <v>84363</v>
      </c>
      <c r="J419" t="s">
        <v>19</v>
      </c>
      <c r="K419">
        <v>846.37</v>
      </c>
      <c r="L419">
        <v>507.822</v>
      </c>
      <c r="M419">
        <v>7.49</v>
      </c>
      <c r="N419">
        <v>1006</v>
      </c>
      <c r="O419" t="s">
        <v>34</v>
      </c>
      <c r="P419">
        <v>2862</v>
      </c>
    </row>
    <row r="420" spans="1:16" x14ac:dyDescent="0.35">
      <c r="A420">
        <v>701</v>
      </c>
      <c r="B420">
        <v>2002</v>
      </c>
      <c r="C420" t="str">
        <f>IF(book_sales[[#This Row],[Publishing Year]]&lt;1900,"Classic (Before 1900)",IF(book_sales[[#This Row],[Publishing Year]]&lt;2000,"20th Century (1900-1999)","21st Century (2000+)"))</f>
        <v>21st Century (2000+)</v>
      </c>
      <c r="D420" t="s">
        <v>1242</v>
      </c>
      <c r="E420" t="s">
        <v>1243</v>
      </c>
      <c r="F420" t="s">
        <v>17</v>
      </c>
      <c r="G420" t="s">
        <v>532</v>
      </c>
      <c r="H420">
        <v>4.17</v>
      </c>
      <c r="I420">
        <v>93057</v>
      </c>
      <c r="J420" t="s">
        <v>41</v>
      </c>
      <c r="K420">
        <v>1060.82</v>
      </c>
      <c r="L420">
        <v>636.49199999999996</v>
      </c>
      <c r="M420">
        <v>8.99</v>
      </c>
      <c r="N420">
        <v>805</v>
      </c>
      <c r="O420" t="s">
        <v>46</v>
      </c>
      <c r="P420">
        <v>35640</v>
      </c>
    </row>
    <row r="421" spans="1:16" x14ac:dyDescent="0.35">
      <c r="A421">
        <v>459</v>
      </c>
      <c r="B421">
        <v>2010</v>
      </c>
      <c r="C421" t="str">
        <f>IF(book_sales[[#This Row],[Publishing Year]]&lt;1900,"Classic (Before 1900)",IF(book_sales[[#This Row],[Publishing Year]]&lt;2000,"20th Century (1900-1999)","21st Century (2000+)"))</f>
        <v>21st Century (2000+)</v>
      </c>
      <c r="D421" t="s">
        <v>848</v>
      </c>
      <c r="E421" t="s">
        <v>849</v>
      </c>
      <c r="F421" t="s">
        <v>23</v>
      </c>
      <c r="G421" t="s">
        <v>24</v>
      </c>
      <c r="H421">
        <v>3.93</v>
      </c>
      <c r="I421">
        <v>88626</v>
      </c>
      <c r="J421" t="s">
        <v>19</v>
      </c>
      <c r="K421">
        <v>517.27</v>
      </c>
      <c r="L421">
        <v>310.36200000000002</v>
      </c>
      <c r="M421">
        <v>2.99</v>
      </c>
      <c r="N421">
        <v>509</v>
      </c>
      <c r="O421" t="s">
        <v>66</v>
      </c>
      <c r="P421">
        <v>4671</v>
      </c>
    </row>
    <row r="422" spans="1:16" x14ac:dyDescent="0.35">
      <c r="A422">
        <v>850</v>
      </c>
      <c r="B422">
        <v>2001</v>
      </c>
      <c r="C422" t="str">
        <f>IF(book_sales[[#This Row],[Publishing Year]]&lt;1900,"Classic (Before 1900)",IF(book_sales[[#This Row],[Publishing Year]]&lt;2000,"20th Century (1900-1999)","21st Century (2000+)"))</f>
        <v>21st Century (2000+)</v>
      </c>
      <c r="D422" t="s">
        <v>1471</v>
      </c>
      <c r="E422" t="s">
        <v>1472</v>
      </c>
      <c r="F422" t="s">
        <v>17</v>
      </c>
      <c r="G422" t="s">
        <v>24</v>
      </c>
      <c r="H422">
        <v>3.92</v>
      </c>
      <c r="I422">
        <v>85683</v>
      </c>
      <c r="J422" t="s">
        <v>41</v>
      </c>
      <c r="K422">
        <v>111.87</v>
      </c>
      <c r="L422">
        <v>67.122</v>
      </c>
      <c r="M422">
        <v>0.99</v>
      </c>
      <c r="N422">
        <v>995</v>
      </c>
      <c r="O422" t="s">
        <v>27</v>
      </c>
      <c r="P422">
        <v>2862</v>
      </c>
    </row>
    <row r="423" spans="1:16" x14ac:dyDescent="0.35">
      <c r="A423">
        <v>601</v>
      </c>
      <c r="B423">
        <v>1977</v>
      </c>
      <c r="C423" t="str">
        <f>IF(book_sales[[#This Row],[Publishing Year]]&lt;1900,"Classic (Before 1900)",IF(book_sales[[#This Row],[Publishing Year]]&lt;2000,"20th Century (1900-1999)","21st Century (2000+)"))</f>
        <v>20th Century (1900-1999)</v>
      </c>
      <c r="D423" t="s">
        <v>1078</v>
      </c>
      <c r="E423" t="s">
        <v>1079</v>
      </c>
      <c r="F423" t="s">
        <v>23</v>
      </c>
      <c r="G423" t="s">
        <v>24</v>
      </c>
      <c r="H423">
        <v>3.82</v>
      </c>
      <c r="I423">
        <v>80959</v>
      </c>
      <c r="J423" t="s">
        <v>19</v>
      </c>
      <c r="K423">
        <v>1191.26</v>
      </c>
      <c r="L423">
        <v>714.75599999999997</v>
      </c>
      <c r="M423">
        <v>8.89</v>
      </c>
      <c r="N423">
        <v>684</v>
      </c>
      <c r="O423" t="s">
        <v>31</v>
      </c>
      <c r="P423">
        <v>52056</v>
      </c>
    </row>
    <row r="424" spans="1:16" x14ac:dyDescent="0.35">
      <c r="A424">
        <v>584</v>
      </c>
      <c r="B424">
        <v>2011</v>
      </c>
      <c r="C424" t="str">
        <f>IF(book_sales[[#This Row],[Publishing Year]]&lt;1900,"Classic (Before 1900)",IF(book_sales[[#This Row],[Publishing Year]]&lt;2000,"20th Century (1900-1999)","21st Century (2000+)"))</f>
        <v>21st Century (2000+)</v>
      </c>
      <c r="D424" t="s">
        <v>1053</v>
      </c>
      <c r="E424" t="s">
        <v>1054</v>
      </c>
      <c r="F424" t="s">
        <v>17</v>
      </c>
      <c r="G424" t="s">
        <v>24</v>
      </c>
      <c r="H424">
        <v>3.89</v>
      </c>
      <c r="I424">
        <v>72713</v>
      </c>
      <c r="J424" t="s">
        <v>30</v>
      </c>
      <c r="K424">
        <v>558.6</v>
      </c>
      <c r="L424">
        <v>0</v>
      </c>
      <c r="M424">
        <v>3.99</v>
      </c>
      <c r="N424">
        <v>655</v>
      </c>
      <c r="O424" t="s">
        <v>27</v>
      </c>
      <c r="P424">
        <v>57240</v>
      </c>
    </row>
    <row r="425" spans="1:16" x14ac:dyDescent="0.35">
      <c r="A425">
        <v>726</v>
      </c>
      <c r="B425">
        <v>2007</v>
      </c>
      <c r="C425" t="str">
        <f>IF(book_sales[[#This Row],[Publishing Year]]&lt;1900,"Classic (Before 1900)",IF(book_sales[[#This Row],[Publishing Year]]&lt;2000,"20th Century (1900-1999)","21st Century (2000+)"))</f>
        <v>21st Century (2000+)</v>
      </c>
      <c r="D425" t="s">
        <v>1282</v>
      </c>
      <c r="E425" t="s">
        <v>1283</v>
      </c>
      <c r="F425" t="s">
        <v>23</v>
      </c>
      <c r="G425" t="s">
        <v>532</v>
      </c>
      <c r="H425">
        <v>4.18</v>
      </c>
      <c r="I425">
        <v>106608</v>
      </c>
      <c r="J425" t="s">
        <v>19</v>
      </c>
      <c r="K425">
        <v>232.83</v>
      </c>
      <c r="L425">
        <v>139.69800000000001</v>
      </c>
      <c r="M425">
        <v>1.99</v>
      </c>
      <c r="N425">
        <v>834</v>
      </c>
      <c r="O425" t="s">
        <v>27</v>
      </c>
      <c r="P425">
        <v>33912</v>
      </c>
    </row>
    <row r="426" spans="1:16" x14ac:dyDescent="0.35">
      <c r="A426">
        <v>223</v>
      </c>
      <c r="B426">
        <v>2008</v>
      </c>
      <c r="C426" t="str">
        <f>IF(book_sales[[#This Row],[Publishing Year]]&lt;1900,"Classic (Before 1900)",IF(book_sales[[#This Row],[Publishing Year]]&lt;2000,"20th Century (1900-1999)","21st Century (2000+)"))</f>
        <v>21st Century (2000+)</v>
      </c>
      <c r="D426" t="s">
        <v>432</v>
      </c>
      <c r="E426" t="s">
        <v>433</v>
      </c>
      <c r="F426" t="s">
        <v>23</v>
      </c>
      <c r="G426" t="s">
        <v>24</v>
      </c>
      <c r="H426">
        <v>4.05</v>
      </c>
      <c r="I426">
        <v>110597</v>
      </c>
      <c r="J426" t="s">
        <v>19</v>
      </c>
      <c r="K426">
        <v>5107.74</v>
      </c>
      <c r="L426">
        <v>3064.6439999999998</v>
      </c>
      <c r="M426">
        <v>11.99</v>
      </c>
      <c r="N426">
        <v>244</v>
      </c>
      <c r="O426" t="s">
        <v>34</v>
      </c>
      <c r="P426">
        <v>426</v>
      </c>
    </row>
    <row r="427" spans="1:16" x14ac:dyDescent="0.35">
      <c r="A427">
        <v>512</v>
      </c>
      <c r="B427">
        <v>2008</v>
      </c>
      <c r="C427" t="str">
        <f>IF(book_sales[[#This Row],[Publishing Year]]&lt;1900,"Classic (Before 1900)",IF(book_sales[[#This Row],[Publishing Year]]&lt;2000,"20th Century (1900-1999)","21st Century (2000+)"))</f>
        <v>21st Century (2000+)</v>
      </c>
      <c r="D427" t="s">
        <v>932</v>
      </c>
      <c r="E427" t="s">
        <v>933</v>
      </c>
      <c r="F427" t="s">
        <v>17</v>
      </c>
      <c r="G427" t="s">
        <v>532</v>
      </c>
      <c r="H427">
        <v>4.0999999999999996</v>
      </c>
      <c r="I427">
        <v>91831</v>
      </c>
      <c r="J427" t="s">
        <v>19</v>
      </c>
      <c r="K427">
        <v>478.4</v>
      </c>
      <c r="L427">
        <v>0</v>
      </c>
      <c r="M427">
        <v>2.99</v>
      </c>
      <c r="N427">
        <v>567</v>
      </c>
      <c r="O427" t="s">
        <v>27</v>
      </c>
      <c r="P427">
        <v>4320</v>
      </c>
    </row>
    <row r="428" spans="1:16" x14ac:dyDescent="0.35">
      <c r="A428">
        <v>635</v>
      </c>
      <c r="B428">
        <v>2009</v>
      </c>
      <c r="C428" t="str">
        <f>IF(book_sales[[#This Row],[Publishing Year]]&lt;1900,"Classic (Before 1900)",IF(book_sales[[#This Row],[Publishing Year]]&lt;2000,"20th Century (1900-1999)","21st Century (2000+)"))</f>
        <v>21st Century (2000+)</v>
      </c>
      <c r="D428" t="s">
        <v>1135</v>
      </c>
      <c r="E428" t="s">
        <v>933</v>
      </c>
      <c r="F428" t="s">
        <v>23</v>
      </c>
      <c r="G428" t="s">
        <v>532</v>
      </c>
      <c r="H428">
        <v>4.1100000000000003</v>
      </c>
      <c r="I428">
        <v>82518</v>
      </c>
      <c r="J428" t="s">
        <v>19</v>
      </c>
      <c r="K428">
        <v>502.74</v>
      </c>
      <c r="L428">
        <v>0</v>
      </c>
      <c r="M428">
        <v>3.99</v>
      </c>
      <c r="N428">
        <v>719</v>
      </c>
      <c r="O428" t="s">
        <v>27</v>
      </c>
      <c r="P428">
        <v>46440</v>
      </c>
    </row>
    <row r="429" spans="1:16" x14ac:dyDescent="0.35">
      <c r="A429">
        <v>663</v>
      </c>
      <c r="B429">
        <v>2009</v>
      </c>
      <c r="C429" t="str">
        <f>IF(book_sales[[#This Row],[Publishing Year]]&lt;1900,"Classic (Before 1900)",IF(book_sales[[#This Row],[Publishing Year]]&lt;2000,"20th Century (1900-1999)","21st Century (2000+)"))</f>
        <v>21st Century (2000+)</v>
      </c>
      <c r="D429" t="s">
        <v>1183</v>
      </c>
      <c r="E429" t="s">
        <v>933</v>
      </c>
      <c r="F429" t="s">
        <v>17</v>
      </c>
      <c r="G429" t="s">
        <v>532</v>
      </c>
      <c r="H429">
        <v>4.1399999999999997</v>
      </c>
      <c r="I429">
        <v>78592</v>
      </c>
      <c r="J429" t="s">
        <v>19</v>
      </c>
      <c r="K429">
        <v>474.81</v>
      </c>
      <c r="L429">
        <v>0</v>
      </c>
      <c r="M429">
        <v>3.99</v>
      </c>
      <c r="N429">
        <v>764</v>
      </c>
      <c r="O429" t="s">
        <v>27</v>
      </c>
      <c r="P429">
        <v>39744</v>
      </c>
    </row>
    <row r="430" spans="1:16" x14ac:dyDescent="0.35">
      <c r="A430">
        <v>845</v>
      </c>
      <c r="B430">
        <v>2010</v>
      </c>
      <c r="C430" t="str">
        <f>IF(book_sales[[#This Row],[Publishing Year]]&lt;1900,"Classic (Before 1900)",IF(book_sales[[#This Row],[Publishing Year]]&lt;2000,"20th Century (1900-1999)","21st Century (2000+)"))</f>
        <v>21st Century (2000+)</v>
      </c>
      <c r="D430" t="s">
        <v>1464</v>
      </c>
      <c r="E430" t="s">
        <v>933</v>
      </c>
      <c r="F430" t="s">
        <v>17</v>
      </c>
      <c r="G430" t="s">
        <v>532</v>
      </c>
      <c r="H430">
        <v>4.16</v>
      </c>
      <c r="I430">
        <v>68701</v>
      </c>
      <c r="J430" t="s">
        <v>41</v>
      </c>
      <c r="K430">
        <v>111.87</v>
      </c>
      <c r="L430">
        <v>67.122</v>
      </c>
      <c r="M430">
        <v>0.99</v>
      </c>
      <c r="N430">
        <v>990</v>
      </c>
      <c r="O430" t="s">
        <v>27</v>
      </c>
      <c r="P430">
        <v>2889</v>
      </c>
    </row>
    <row r="431" spans="1:16" x14ac:dyDescent="0.35">
      <c r="A431">
        <v>897</v>
      </c>
      <c r="B431">
        <v>2010</v>
      </c>
      <c r="C431" t="str">
        <f>IF(book_sales[[#This Row],[Publishing Year]]&lt;1900,"Classic (Before 1900)",IF(book_sales[[#This Row],[Publishing Year]]&lt;2000,"20th Century (1900-1999)","21st Century (2000+)"))</f>
        <v>21st Century (2000+)</v>
      </c>
      <c r="D431" t="s">
        <v>1537</v>
      </c>
      <c r="E431" t="s">
        <v>933</v>
      </c>
      <c r="F431" t="s">
        <v>23</v>
      </c>
      <c r="G431" t="s">
        <v>532</v>
      </c>
      <c r="H431">
        <v>4.21</v>
      </c>
      <c r="I431">
        <v>63347</v>
      </c>
      <c r="J431" t="s">
        <v>41</v>
      </c>
      <c r="K431">
        <v>1330.89</v>
      </c>
      <c r="L431">
        <v>798.53399999999999</v>
      </c>
      <c r="M431">
        <v>11.99</v>
      </c>
      <c r="N431">
        <v>1053</v>
      </c>
      <c r="O431" t="s">
        <v>34</v>
      </c>
      <c r="P431">
        <v>4400</v>
      </c>
    </row>
    <row r="432" spans="1:16" x14ac:dyDescent="0.35">
      <c r="A432">
        <v>891</v>
      </c>
      <c r="B432">
        <v>1993</v>
      </c>
      <c r="C432" t="str">
        <f>IF(book_sales[[#This Row],[Publishing Year]]&lt;1900,"Classic (Before 1900)",IF(book_sales[[#This Row],[Publishing Year]]&lt;2000,"20th Century (1900-1999)","21st Century (2000+)"))</f>
        <v>20th Century (1900-1999)</v>
      </c>
      <c r="D432" t="s">
        <v>1529</v>
      </c>
      <c r="E432" t="s">
        <v>1530</v>
      </c>
      <c r="F432" t="s">
        <v>23</v>
      </c>
      <c r="G432" t="s">
        <v>532</v>
      </c>
      <c r="H432">
        <v>4.16</v>
      </c>
      <c r="I432">
        <v>62330</v>
      </c>
      <c r="J432" t="s">
        <v>19</v>
      </c>
      <c r="K432">
        <v>670.88</v>
      </c>
      <c r="L432">
        <v>0</v>
      </c>
      <c r="M432">
        <v>5.99</v>
      </c>
      <c r="N432">
        <v>1048</v>
      </c>
      <c r="O432" t="s">
        <v>27</v>
      </c>
      <c r="P432">
        <v>4400</v>
      </c>
    </row>
    <row r="433" spans="1:16" x14ac:dyDescent="0.35">
      <c r="A433">
        <v>195</v>
      </c>
      <c r="B433">
        <v>1997</v>
      </c>
      <c r="C433" t="str">
        <f>IF(book_sales[[#This Row],[Publishing Year]]&lt;1900,"Classic (Before 1900)",IF(book_sales[[#This Row],[Publishing Year]]&lt;2000,"20th Century (1900-1999)","21st Century (2000+)"))</f>
        <v>20th Century (1900-1999)</v>
      </c>
      <c r="D433" t="s">
        <v>382</v>
      </c>
      <c r="E433" t="s">
        <v>383</v>
      </c>
      <c r="F433" t="s">
        <v>17</v>
      </c>
      <c r="G433" t="s">
        <v>24</v>
      </c>
      <c r="H433">
        <v>4.18</v>
      </c>
      <c r="I433">
        <v>120541</v>
      </c>
      <c r="J433" t="s">
        <v>19</v>
      </c>
      <c r="K433">
        <v>5253.22</v>
      </c>
      <c r="L433">
        <v>3151.9319999999998</v>
      </c>
      <c r="M433">
        <v>10.99</v>
      </c>
      <c r="N433">
        <v>213</v>
      </c>
      <c r="O433" t="s">
        <v>46</v>
      </c>
      <c r="P433">
        <v>478</v>
      </c>
    </row>
    <row r="434" spans="1:16" x14ac:dyDescent="0.35">
      <c r="A434">
        <v>569</v>
      </c>
      <c r="B434">
        <v>1979</v>
      </c>
      <c r="C434" t="str">
        <f>IF(book_sales[[#This Row],[Publishing Year]]&lt;1900,"Classic (Before 1900)",IF(book_sales[[#This Row],[Publishing Year]]&lt;2000,"20th Century (1900-1999)","21st Century (2000+)"))</f>
        <v>20th Century (1900-1999)</v>
      </c>
      <c r="D434" t="s">
        <v>1031</v>
      </c>
      <c r="E434" t="s">
        <v>1032</v>
      </c>
      <c r="F434" t="s">
        <v>17</v>
      </c>
      <c r="G434" t="s">
        <v>532</v>
      </c>
      <c r="H434">
        <v>4.2699999999999996</v>
      </c>
      <c r="I434">
        <v>74052</v>
      </c>
      <c r="J434" t="s">
        <v>30</v>
      </c>
      <c r="K434">
        <v>723.55</v>
      </c>
      <c r="L434">
        <v>0</v>
      </c>
      <c r="M434">
        <v>4.99</v>
      </c>
      <c r="N434">
        <v>632</v>
      </c>
      <c r="O434" t="s">
        <v>27</v>
      </c>
      <c r="P434">
        <v>3915</v>
      </c>
    </row>
    <row r="435" spans="1:16" x14ac:dyDescent="0.35">
      <c r="A435">
        <v>26</v>
      </c>
      <c r="B435">
        <v>1993</v>
      </c>
      <c r="C435" t="str">
        <f>IF(book_sales[[#This Row],[Publishing Year]]&lt;1900,"Classic (Before 1900)",IF(book_sales[[#This Row],[Publishing Year]]&lt;2000,"20th Century (1900-1999)","21st Century (2000+)"))</f>
        <v>20th Century (1900-1999)</v>
      </c>
      <c r="D435" t="s">
        <v>79</v>
      </c>
      <c r="E435" t="s">
        <v>80</v>
      </c>
      <c r="F435" t="s">
        <v>23</v>
      </c>
      <c r="G435" t="s">
        <v>24</v>
      </c>
      <c r="H435">
        <v>3.83</v>
      </c>
      <c r="I435">
        <v>159249</v>
      </c>
      <c r="J435" t="s">
        <v>19</v>
      </c>
      <c r="K435">
        <v>26904.06</v>
      </c>
      <c r="L435">
        <v>16142.436</v>
      </c>
      <c r="M435">
        <v>10.91</v>
      </c>
      <c r="N435">
        <v>28</v>
      </c>
      <c r="O435" t="s">
        <v>34</v>
      </c>
      <c r="P435">
        <v>2466</v>
      </c>
    </row>
    <row r="436" spans="1:16" x14ac:dyDescent="0.35">
      <c r="A436">
        <v>393</v>
      </c>
      <c r="B436">
        <v>2011</v>
      </c>
      <c r="C436" t="str">
        <f>IF(book_sales[[#This Row],[Publishing Year]]&lt;1900,"Classic (Before 1900)",IF(book_sales[[#This Row],[Publishing Year]]&lt;2000,"20th Century (1900-1999)","21st Century (2000+)"))</f>
        <v>21st Century (2000+)</v>
      </c>
      <c r="D436" t="s">
        <v>738</v>
      </c>
      <c r="E436" t="s">
        <v>80</v>
      </c>
      <c r="F436" t="s">
        <v>23</v>
      </c>
      <c r="G436" t="s">
        <v>18</v>
      </c>
      <c r="H436">
        <v>3.42</v>
      </c>
      <c r="I436">
        <v>90551</v>
      </c>
      <c r="J436" t="s">
        <v>19</v>
      </c>
      <c r="K436">
        <v>1080.32</v>
      </c>
      <c r="L436">
        <v>648.19200000000001</v>
      </c>
      <c r="M436">
        <v>5.12</v>
      </c>
      <c r="N436">
        <v>427</v>
      </c>
      <c r="O436" t="s">
        <v>46</v>
      </c>
      <c r="P436">
        <v>5697</v>
      </c>
    </row>
    <row r="437" spans="1:16" x14ac:dyDescent="0.35">
      <c r="A437">
        <v>769</v>
      </c>
      <c r="B437">
        <v>2004</v>
      </c>
      <c r="C437" t="str">
        <f>IF(book_sales[[#This Row],[Publishing Year]]&lt;1900,"Classic (Before 1900)",IF(book_sales[[#This Row],[Publishing Year]]&lt;2000,"20th Century (1900-1999)","21st Century (2000+)"))</f>
        <v>21st Century (2000+)</v>
      </c>
      <c r="D437" t="s">
        <v>1349</v>
      </c>
      <c r="E437" t="s">
        <v>1350</v>
      </c>
      <c r="F437" t="s">
        <v>17</v>
      </c>
      <c r="G437" t="s">
        <v>532</v>
      </c>
      <c r="H437">
        <v>4.12</v>
      </c>
      <c r="I437">
        <v>68480</v>
      </c>
      <c r="J437" t="s">
        <v>19</v>
      </c>
      <c r="K437">
        <v>114.84</v>
      </c>
      <c r="L437">
        <v>0</v>
      </c>
      <c r="M437">
        <v>0.99</v>
      </c>
      <c r="N437">
        <v>890</v>
      </c>
      <c r="O437" t="s">
        <v>27</v>
      </c>
      <c r="P437">
        <v>29808</v>
      </c>
    </row>
    <row r="438" spans="1:16" x14ac:dyDescent="0.35">
      <c r="A438">
        <v>1063</v>
      </c>
      <c r="B438">
        <v>2004</v>
      </c>
      <c r="C438" t="str">
        <f>IF(book_sales[[#This Row],[Publishing Year]]&lt;1900,"Classic (Before 1900)",IF(book_sales[[#This Row],[Publishing Year]]&lt;2000,"20th Century (1900-1999)","21st Century (2000+)"))</f>
        <v>21st Century (2000+)</v>
      </c>
      <c r="D438" t="s">
        <v>1795</v>
      </c>
      <c r="E438" t="s">
        <v>1796</v>
      </c>
      <c r="F438" t="s">
        <v>23</v>
      </c>
      <c r="G438" t="s">
        <v>24</v>
      </c>
      <c r="H438">
        <v>3.95</v>
      </c>
      <c r="I438">
        <v>70737</v>
      </c>
      <c r="J438" t="s">
        <v>19</v>
      </c>
      <c r="K438">
        <v>846.94</v>
      </c>
      <c r="L438">
        <v>508.16399999999999</v>
      </c>
      <c r="M438">
        <v>7.99</v>
      </c>
      <c r="N438">
        <v>1266</v>
      </c>
      <c r="O438" t="s">
        <v>46</v>
      </c>
      <c r="P438">
        <v>106</v>
      </c>
    </row>
    <row r="439" spans="1:16" x14ac:dyDescent="0.35">
      <c r="A439">
        <v>766</v>
      </c>
      <c r="B439">
        <v>2012</v>
      </c>
      <c r="C439" t="str">
        <f>IF(book_sales[[#This Row],[Publishing Year]]&lt;1900,"Classic (Before 1900)",IF(book_sales[[#This Row],[Publishing Year]]&lt;2000,"20th Century (1900-1999)","21st Century (2000+)"))</f>
        <v>21st Century (2000+)</v>
      </c>
      <c r="D439" t="s">
        <v>1344</v>
      </c>
      <c r="E439" t="s">
        <v>1345</v>
      </c>
      <c r="F439" t="s">
        <v>23</v>
      </c>
      <c r="G439" t="s">
        <v>24</v>
      </c>
      <c r="H439">
        <v>3.8</v>
      </c>
      <c r="I439">
        <v>89356</v>
      </c>
      <c r="J439" t="s">
        <v>19</v>
      </c>
      <c r="K439">
        <v>114.84</v>
      </c>
      <c r="L439">
        <v>0</v>
      </c>
      <c r="M439">
        <v>0.99</v>
      </c>
      <c r="N439">
        <v>886</v>
      </c>
      <c r="O439" t="s">
        <v>27</v>
      </c>
      <c r="P439">
        <v>30240</v>
      </c>
    </row>
    <row r="440" spans="1:16" x14ac:dyDescent="0.35">
      <c r="A440">
        <v>107</v>
      </c>
      <c r="B440">
        <v>2010</v>
      </c>
      <c r="C440" t="str">
        <f>IF(book_sales[[#This Row],[Publishing Year]]&lt;1900,"Classic (Before 1900)",IF(book_sales[[#This Row],[Publishing Year]]&lt;2000,"20th Century (1900-1999)","21st Century (2000+)"))</f>
        <v>21st Century (2000+)</v>
      </c>
      <c r="D440" t="s">
        <v>232</v>
      </c>
      <c r="E440" t="s">
        <v>233</v>
      </c>
      <c r="F440" t="s">
        <v>23</v>
      </c>
      <c r="G440" t="s">
        <v>24</v>
      </c>
      <c r="H440">
        <v>3.64</v>
      </c>
      <c r="I440">
        <v>120126</v>
      </c>
      <c r="J440" t="s">
        <v>19</v>
      </c>
      <c r="K440">
        <v>4690.6000000000004</v>
      </c>
      <c r="L440">
        <v>2814.36</v>
      </c>
      <c r="M440">
        <v>4.99</v>
      </c>
      <c r="N440">
        <v>112</v>
      </c>
      <c r="O440" t="s">
        <v>133</v>
      </c>
      <c r="P440">
        <v>940</v>
      </c>
    </row>
    <row r="441" spans="1:16" x14ac:dyDescent="0.35">
      <c r="A441">
        <v>219</v>
      </c>
      <c r="B441">
        <v>2011</v>
      </c>
      <c r="C441" t="str">
        <f>IF(book_sales[[#This Row],[Publishing Year]]&lt;1900,"Classic (Before 1900)",IF(book_sales[[#This Row],[Publishing Year]]&lt;2000,"20th Century (1900-1999)","21st Century (2000+)"))</f>
        <v>21st Century (2000+)</v>
      </c>
      <c r="D441" t="s">
        <v>425</v>
      </c>
      <c r="E441" t="s">
        <v>426</v>
      </c>
      <c r="F441" t="s">
        <v>23</v>
      </c>
      <c r="G441" t="s">
        <v>24</v>
      </c>
      <c r="H441">
        <v>4.2300000000000004</v>
      </c>
      <c r="I441">
        <v>164832</v>
      </c>
      <c r="J441" t="s">
        <v>19</v>
      </c>
      <c r="K441">
        <v>5191.67</v>
      </c>
      <c r="L441">
        <v>3115.002</v>
      </c>
      <c r="M441">
        <v>11.99</v>
      </c>
      <c r="N441">
        <v>240</v>
      </c>
      <c r="O441" t="s">
        <v>34</v>
      </c>
      <c r="P441">
        <v>433</v>
      </c>
    </row>
    <row r="442" spans="1:16" x14ac:dyDescent="0.35">
      <c r="A442">
        <v>638</v>
      </c>
      <c r="B442">
        <v>2012</v>
      </c>
      <c r="C442" t="str">
        <f>IF(book_sales[[#This Row],[Publishing Year]]&lt;1900,"Classic (Before 1900)",IF(book_sales[[#This Row],[Publishing Year]]&lt;2000,"20th Century (1900-1999)","21st Century (2000+)"))</f>
        <v>21st Century (2000+)</v>
      </c>
      <c r="D442" t="s">
        <v>1140</v>
      </c>
      <c r="E442" t="s">
        <v>426</v>
      </c>
      <c r="F442" t="s">
        <v>23</v>
      </c>
      <c r="G442" t="s">
        <v>532</v>
      </c>
      <c r="H442">
        <v>4.33</v>
      </c>
      <c r="I442">
        <v>111448</v>
      </c>
      <c r="J442" t="s">
        <v>19</v>
      </c>
      <c r="K442">
        <v>1127.5</v>
      </c>
      <c r="L442">
        <v>676.5</v>
      </c>
      <c r="M442">
        <v>9.02</v>
      </c>
      <c r="N442">
        <v>725</v>
      </c>
      <c r="O442" t="s">
        <v>46</v>
      </c>
      <c r="P442">
        <v>46008</v>
      </c>
    </row>
    <row r="443" spans="1:16" x14ac:dyDescent="0.35">
      <c r="A443">
        <v>1025</v>
      </c>
      <c r="B443">
        <v>2012</v>
      </c>
      <c r="C443" t="str">
        <f>IF(book_sales[[#This Row],[Publishing Year]]&lt;1900,"Classic (Before 1900)",IF(book_sales[[#This Row],[Publishing Year]]&lt;2000,"20th Century (1900-1999)","21st Century (2000+)"))</f>
        <v>21st Century (2000+)</v>
      </c>
      <c r="D443" t="s">
        <v>1735</v>
      </c>
      <c r="E443" t="s">
        <v>426</v>
      </c>
      <c r="G443" t="s">
        <v>532</v>
      </c>
      <c r="H443">
        <v>4.34</v>
      </c>
      <c r="I443">
        <v>92014</v>
      </c>
      <c r="J443" t="s">
        <v>19</v>
      </c>
      <c r="K443">
        <v>105.93</v>
      </c>
      <c r="L443">
        <v>0</v>
      </c>
      <c r="M443">
        <v>0.99</v>
      </c>
      <c r="N443">
        <v>1213</v>
      </c>
      <c r="O443" t="s">
        <v>27</v>
      </c>
      <c r="P443">
        <v>107</v>
      </c>
    </row>
    <row r="444" spans="1:16" x14ac:dyDescent="0.35">
      <c r="A444">
        <v>390</v>
      </c>
      <c r="B444">
        <v>2015</v>
      </c>
      <c r="C444" t="str">
        <f>IF(book_sales[[#This Row],[Publishing Year]]&lt;1900,"Classic (Before 1900)",IF(book_sales[[#This Row],[Publishing Year]]&lt;2000,"20th Century (1900-1999)","21st Century (2000+)"))</f>
        <v>21st Century (2000+)</v>
      </c>
      <c r="D444" t="s">
        <v>732</v>
      </c>
      <c r="E444" t="s">
        <v>733</v>
      </c>
      <c r="F444" t="s">
        <v>23</v>
      </c>
      <c r="G444" t="s">
        <v>532</v>
      </c>
      <c r="H444">
        <v>4.1900000000000004</v>
      </c>
      <c r="I444">
        <v>132087</v>
      </c>
      <c r="J444" t="s">
        <v>19</v>
      </c>
      <c r="K444">
        <v>423.87</v>
      </c>
      <c r="L444">
        <v>254.322</v>
      </c>
      <c r="M444">
        <v>1.99</v>
      </c>
      <c r="N444">
        <v>423</v>
      </c>
      <c r="O444" t="s">
        <v>20</v>
      </c>
      <c r="P444">
        <v>5751</v>
      </c>
    </row>
    <row r="445" spans="1:16" x14ac:dyDescent="0.35">
      <c r="A445">
        <v>678</v>
      </c>
      <c r="B445">
        <v>2012</v>
      </c>
      <c r="C445" t="str">
        <f>IF(book_sales[[#This Row],[Publishing Year]]&lt;1900,"Classic (Before 1900)",IF(book_sales[[#This Row],[Publishing Year]]&lt;2000,"20th Century (1900-1999)","21st Century (2000+)"))</f>
        <v>21st Century (2000+)</v>
      </c>
      <c r="D445" t="s">
        <v>1208</v>
      </c>
      <c r="E445" t="s">
        <v>1209</v>
      </c>
      <c r="F445" t="s">
        <v>23</v>
      </c>
      <c r="G445" t="s">
        <v>24</v>
      </c>
      <c r="H445">
        <v>3.81</v>
      </c>
      <c r="I445">
        <v>91630</v>
      </c>
      <c r="J445" t="s">
        <v>19</v>
      </c>
      <c r="K445">
        <v>1307.81</v>
      </c>
      <c r="L445">
        <v>784.68600000000004</v>
      </c>
      <c r="M445">
        <v>10.99</v>
      </c>
      <c r="N445">
        <v>781</v>
      </c>
      <c r="O445" t="s">
        <v>46</v>
      </c>
      <c r="P445">
        <v>37368</v>
      </c>
    </row>
    <row r="446" spans="1:16" x14ac:dyDescent="0.35">
      <c r="A446">
        <v>576</v>
      </c>
      <c r="B446">
        <v>2004</v>
      </c>
      <c r="C446" t="str">
        <f>IF(book_sales[[#This Row],[Publishing Year]]&lt;1900,"Classic (Before 1900)",IF(book_sales[[#This Row],[Publishing Year]]&lt;2000,"20th Century (1900-1999)","21st Century (2000+)"))</f>
        <v>21st Century (2000+)</v>
      </c>
      <c r="D446" t="s">
        <v>1041</v>
      </c>
      <c r="E446" t="s">
        <v>1042</v>
      </c>
      <c r="G446" t="s">
        <v>24</v>
      </c>
      <c r="H446">
        <v>3.76</v>
      </c>
      <c r="I446">
        <v>77592</v>
      </c>
      <c r="J446" t="s">
        <v>41</v>
      </c>
      <c r="K446">
        <v>1072.5</v>
      </c>
      <c r="L446">
        <v>643.5</v>
      </c>
      <c r="M446">
        <v>7.5</v>
      </c>
      <c r="N446">
        <v>645</v>
      </c>
      <c r="O446" t="s">
        <v>46</v>
      </c>
      <c r="P446">
        <v>3861</v>
      </c>
    </row>
    <row r="447" spans="1:16" x14ac:dyDescent="0.35">
      <c r="A447">
        <v>214</v>
      </c>
      <c r="B447">
        <v>2012</v>
      </c>
      <c r="C447" t="str">
        <f>IF(book_sales[[#This Row],[Publishing Year]]&lt;1900,"Classic (Before 1900)",IF(book_sales[[#This Row],[Publishing Year]]&lt;2000,"20th Century (1900-1999)","21st Century (2000+)"))</f>
        <v>21st Century (2000+)</v>
      </c>
      <c r="D447" t="s">
        <v>417</v>
      </c>
      <c r="E447" t="s">
        <v>418</v>
      </c>
      <c r="F447" t="s">
        <v>23</v>
      </c>
      <c r="G447" t="s">
        <v>24</v>
      </c>
      <c r="H447">
        <v>3.9</v>
      </c>
      <c r="I447">
        <v>118475</v>
      </c>
      <c r="J447" t="s">
        <v>19</v>
      </c>
      <c r="K447">
        <v>443.52</v>
      </c>
      <c r="L447">
        <v>266.11200000000002</v>
      </c>
      <c r="M447">
        <v>0.99</v>
      </c>
      <c r="N447">
        <v>231</v>
      </c>
      <c r="O447" t="s">
        <v>27</v>
      </c>
      <c r="P447">
        <v>448</v>
      </c>
    </row>
    <row r="448" spans="1:16" x14ac:dyDescent="0.35">
      <c r="A448">
        <v>296</v>
      </c>
      <c r="B448">
        <v>2014</v>
      </c>
      <c r="C448" t="str">
        <f>IF(book_sales[[#This Row],[Publishing Year]]&lt;1900,"Classic (Before 1900)",IF(book_sales[[#This Row],[Publishing Year]]&lt;2000,"20th Century (1900-1999)","21st Century (2000+)"))</f>
        <v>21st Century (2000+)</v>
      </c>
      <c r="D448" t="s">
        <v>563</v>
      </c>
      <c r="E448" t="s">
        <v>564</v>
      </c>
      <c r="F448" t="s">
        <v>23</v>
      </c>
      <c r="G448" t="s">
        <v>532</v>
      </c>
      <c r="H448">
        <v>4.1100000000000003</v>
      </c>
      <c r="I448">
        <v>136938</v>
      </c>
      <c r="J448" t="s">
        <v>41</v>
      </c>
      <c r="K448">
        <v>598.99</v>
      </c>
      <c r="L448">
        <v>0</v>
      </c>
      <c r="M448">
        <v>1.99</v>
      </c>
      <c r="N448">
        <v>319</v>
      </c>
      <c r="O448" t="s">
        <v>27</v>
      </c>
      <c r="P448">
        <v>301</v>
      </c>
    </row>
    <row r="449" spans="1:16" x14ac:dyDescent="0.35">
      <c r="A449">
        <v>535</v>
      </c>
      <c r="B449">
        <v>2009</v>
      </c>
      <c r="C449" t="str">
        <f>IF(book_sales[[#This Row],[Publishing Year]]&lt;1900,"Classic (Before 1900)",IF(book_sales[[#This Row],[Publishing Year]]&lt;2000,"20th Century (1900-1999)","21st Century (2000+)"))</f>
        <v>21st Century (2000+)</v>
      </c>
      <c r="D449" t="s">
        <v>970</v>
      </c>
      <c r="E449" t="s">
        <v>564</v>
      </c>
      <c r="F449" t="s">
        <v>17</v>
      </c>
      <c r="G449" t="s">
        <v>24</v>
      </c>
      <c r="H449">
        <v>3.96</v>
      </c>
      <c r="I449">
        <v>104730</v>
      </c>
      <c r="J449" t="s">
        <v>19</v>
      </c>
      <c r="K449">
        <v>610.47</v>
      </c>
      <c r="L449">
        <v>0</v>
      </c>
      <c r="M449">
        <v>3.99</v>
      </c>
      <c r="N449">
        <v>596</v>
      </c>
      <c r="O449" t="s">
        <v>27</v>
      </c>
      <c r="P449">
        <v>4131</v>
      </c>
    </row>
    <row r="450" spans="1:16" x14ac:dyDescent="0.35">
      <c r="A450">
        <v>753</v>
      </c>
      <c r="B450">
        <v>2010</v>
      </c>
      <c r="C450" t="str">
        <f>IF(book_sales[[#This Row],[Publishing Year]]&lt;1900,"Classic (Before 1900)",IF(book_sales[[#This Row],[Publishing Year]]&lt;2000,"20th Century (1900-1999)","21st Century (2000+)"))</f>
        <v>21st Century (2000+)</v>
      </c>
      <c r="D450" t="s">
        <v>1325</v>
      </c>
      <c r="E450" t="s">
        <v>564</v>
      </c>
      <c r="F450" t="s">
        <v>17</v>
      </c>
      <c r="G450" t="s">
        <v>532</v>
      </c>
      <c r="H450">
        <v>4.1399999999999997</v>
      </c>
      <c r="I450">
        <v>80367</v>
      </c>
      <c r="J450" t="s">
        <v>19</v>
      </c>
      <c r="K450">
        <v>346.84</v>
      </c>
      <c r="L450">
        <v>0</v>
      </c>
      <c r="M450">
        <v>2.99</v>
      </c>
      <c r="N450">
        <v>868</v>
      </c>
      <c r="O450" t="s">
        <v>27</v>
      </c>
      <c r="P450">
        <v>31536</v>
      </c>
    </row>
    <row r="451" spans="1:16" x14ac:dyDescent="0.35">
      <c r="A451">
        <v>322</v>
      </c>
      <c r="B451">
        <v>1990</v>
      </c>
      <c r="C451" t="str">
        <f>IF(book_sales[[#This Row],[Publishing Year]]&lt;1900,"Classic (Before 1900)",IF(book_sales[[#This Row],[Publishing Year]]&lt;2000,"20th Century (1900-1999)","21st Century (2000+)"))</f>
        <v>20th Century (1900-1999)</v>
      </c>
      <c r="D451" t="s">
        <v>611</v>
      </c>
      <c r="E451" t="s">
        <v>612</v>
      </c>
      <c r="F451" t="s">
        <v>23</v>
      </c>
      <c r="G451" t="s">
        <v>24</v>
      </c>
      <c r="H451">
        <v>3.86</v>
      </c>
      <c r="I451">
        <v>99831</v>
      </c>
      <c r="J451" t="s">
        <v>19</v>
      </c>
      <c r="K451">
        <v>777.4</v>
      </c>
      <c r="L451">
        <v>0</v>
      </c>
      <c r="M451">
        <v>2.99</v>
      </c>
      <c r="N451">
        <v>344</v>
      </c>
      <c r="O451" t="s">
        <v>27</v>
      </c>
      <c r="P451">
        <v>260</v>
      </c>
    </row>
    <row r="452" spans="1:16" x14ac:dyDescent="0.35">
      <c r="A452">
        <v>158</v>
      </c>
      <c r="B452">
        <v>2012</v>
      </c>
      <c r="C452" t="str">
        <f>IF(book_sales[[#This Row],[Publishing Year]]&lt;1900,"Classic (Before 1900)",IF(book_sales[[#This Row],[Publishing Year]]&lt;2000,"20th Century (1900-1999)","21st Century (2000+)"))</f>
        <v>21st Century (2000+)</v>
      </c>
      <c r="D452" t="s">
        <v>320</v>
      </c>
      <c r="E452" t="s">
        <v>321</v>
      </c>
      <c r="F452" t="s">
        <v>23</v>
      </c>
      <c r="G452" t="s">
        <v>24</v>
      </c>
      <c r="H452">
        <v>3.67</v>
      </c>
      <c r="I452">
        <v>116053</v>
      </c>
      <c r="J452" t="s">
        <v>19</v>
      </c>
      <c r="K452">
        <v>9818.4500000000007</v>
      </c>
      <c r="L452">
        <v>5891.07</v>
      </c>
      <c r="M452">
        <v>14.99</v>
      </c>
      <c r="N452">
        <v>169</v>
      </c>
      <c r="O452" t="s">
        <v>46</v>
      </c>
      <c r="P452">
        <v>655</v>
      </c>
    </row>
    <row r="453" spans="1:16" x14ac:dyDescent="0.35">
      <c r="A453">
        <v>844</v>
      </c>
      <c r="B453">
        <v>2012</v>
      </c>
      <c r="C453" t="str">
        <f>IF(book_sales[[#This Row],[Publishing Year]]&lt;1900,"Classic (Before 1900)",IF(book_sales[[#This Row],[Publishing Year]]&lt;2000,"20th Century (1900-1999)","21st Century (2000+)"))</f>
        <v>21st Century (2000+)</v>
      </c>
      <c r="D453" t="s">
        <v>1462</v>
      </c>
      <c r="E453" t="s">
        <v>1463</v>
      </c>
      <c r="F453" t="s">
        <v>17</v>
      </c>
      <c r="G453" t="s">
        <v>24</v>
      </c>
      <c r="H453">
        <v>3.58</v>
      </c>
      <c r="I453">
        <v>82270</v>
      </c>
      <c r="J453" t="s">
        <v>41</v>
      </c>
      <c r="K453">
        <v>1241.8699999999999</v>
      </c>
      <c r="L453">
        <v>745.12199999999996</v>
      </c>
      <c r="M453">
        <v>10.99</v>
      </c>
      <c r="N453">
        <v>988</v>
      </c>
      <c r="O453" t="s">
        <v>46</v>
      </c>
      <c r="P453">
        <v>2889</v>
      </c>
    </row>
    <row r="454" spans="1:16" x14ac:dyDescent="0.35">
      <c r="A454">
        <v>395</v>
      </c>
      <c r="B454">
        <v>2015</v>
      </c>
      <c r="C454" t="str">
        <f>IF(book_sales[[#This Row],[Publishing Year]]&lt;1900,"Classic (Before 1900)",IF(book_sales[[#This Row],[Publishing Year]]&lt;2000,"20th Century (1900-1999)","21st Century (2000+)"))</f>
        <v>21st Century (2000+)</v>
      </c>
      <c r="D454" t="s">
        <v>741</v>
      </c>
      <c r="E454" t="s">
        <v>742</v>
      </c>
      <c r="F454" t="s">
        <v>23</v>
      </c>
      <c r="G454" t="s">
        <v>18</v>
      </c>
      <c r="H454">
        <v>3.48</v>
      </c>
      <c r="I454">
        <v>82504</v>
      </c>
      <c r="J454" t="s">
        <v>19</v>
      </c>
      <c r="K454">
        <v>2007.6</v>
      </c>
      <c r="L454">
        <v>1204.56</v>
      </c>
      <c r="M454">
        <v>9.56</v>
      </c>
      <c r="N454">
        <v>430</v>
      </c>
      <c r="O454" t="s">
        <v>66</v>
      </c>
      <c r="P454">
        <v>5670</v>
      </c>
    </row>
    <row r="455" spans="1:16" x14ac:dyDescent="0.35">
      <c r="A455">
        <v>688</v>
      </c>
      <c r="B455">
        <v>2012</v>
      </c>
      <c r="C455" t="str">
        <f>IF(book_sales[[#This Row],[Publishing Year]]&lt;1900,"Classic (Before 1900)",IF(book_sales[[#This Row],[Publishing Year]]&lt;2000,"20th Century (1900-1999)","21st Century (2000+)"))</f>
        <v>21st Century (2000+)</v>
      </c>
      <c r="D455" t="s">
        <v>1224</v>
      </c>
      <c r="E455" t="s">
        <v>1225</v>
      </c>
      <c r="F455" t="s">
        <v>23</v>
      </c>
      <c r="G455" t="s">
        <v>532</v>
      </c>
      <c r="H455">
        <v>4.21</v>
      </c>
      <c r="I455">
        <v>97615</v>
      </c>
      <c r="J455" t="s">
        <v>19</v>
      </c>
      <c r="K455">
        <v>116.82</v>
      </c>
      <c r="L455">
        <v>70.091999999999999</v>
      </c>
      <c r="M455">
        <v>0.99</v>
      </c>
      <c r="N455">
        <v>792</v>
      </c>
      <c r="O455" t="s">
        <v>27</v>
      </c>
      <c r="P455">
        <v>36504</v>
      </c>
    </row>
    <row r="456" spans="1:16" x14ac:dyDescent="0.35">
      <c r="A456">
        <v>864</v>
      </c>
      <c r="B456">
        <v>2014</v>
      </c>
      <c r="C456" t="str">
        <f>IF(book_sales[[#This Row],[Publishing Year]]&lt;1900,"Classic (Before 1900)",IF(book_sales[[#This Row],[Publishing Year]]&lt;2000,"20th Century (1900-1999)","21st Century (2000+)"))</f>
        <v>21st Century (2000+)</v>
      </c>
      <c r="D456" t="s">
        <v>1491</v>
      </c>
      <c r="E456" t="s">
        <v>1492</v>
      </c>
      <c r="F456" t="s">
        <v>23</v>
      </c>
      <c r="G456" t="s">
        <v>24</v>
      </c>
      <c r="H456">
        <v>3.58</v>
      </c>
      <c r="I456">
        <v>56344</v>
      </c>
      <c r="J456" t="s">
        <v>19</v>
      </c>
      <c r="K456">
        <v>224.87</v>
      </c>
      <c r="L456">
        <v>134.922</v>
      </c>
      <c r="M456">
        <v>1.99</v>
      </c>
      <c r="N456">
        <v>1010</v>
      </c>
      <c r="O456" t="s">
        <v>20</v>
      </c>
      <c r="P456">
        <v>2862</v>
      </c>
    </row>
    <row r="457" spans="1:16" x14ac:dyDescent="0.35">
      <c r="A457">
        <v>131</v>
      </c>
      <c r="B457">
        <v>1999</v>
      </c>
      <c r="C457" t="str">
        <f>IF(book_sales[[#This Row],[Publishing Year]]&lt;1900,"Classic (Before 1900)",IF(book_sales[[#This Row],[Publishing Year]]&lt;2000,"20th Century (1900-1999)","21st Century (2000+)"))</f>
        <v>20th Century (1900-1999)</v>
      </c>
      <c r="D457" t="s">
        <v>274</v>
      </c>
      <c r="E457" t="s">
        <v>275</v>
      </c>
      <c r="F457" t="s">
        <v>23</v>
      </c>
      <c r="G457" t="s">
        <v>24</v>
      </c>
      <c r="H457">
        <v>4.12</v>
      </c>
      <c r="I457">
        <v>110651</v>
      </c>
      <c r="J457" t="s">
        <v>19</v>
      </c>
      <c r="K457">
        <v>8573.25</v>
      </c>
      <c r="L457">
        <v>5143.95</v>
      </c>
      <c r="M457">
        <v>10.65</v>
      </c>
      <c r="N457">
        <v>139</v>
      </c>
      <c r="O457" t="s">
        <v>34</v>
      </c>
      <c r="P457">
        <v>805</v>
      </c>
    </row>
    <row r="458" spans="1:16" x14ac:dyDescent="0.35">
      <c r="A458">
        <v>711</v>
      </c>
      <c r="B458">
        <v>2013</v>
      </c>
      <c r="C458" t="str">
        <f>IF(book_sales[[#This Row],[Publishing Year]]&lt;1900,"Classic (Before 1900)",IF(book_sales[[#This Row],[Publishing Year]]&lt;2000,"20th Century (1900-1999)","21st Century (2000+)"))</f>
        <v>21st Century (2000+)</v>
      </c>
      <c r="D458" t="s">
        <v>1258</v>
      </c>
      <c r="E458" t="s">
        <v>275</v>
      </c>
      <c r="F458" t="s">
        <v>23</v>
      </c>
      <c r="G458" t="s">
        <v>24</v>
      </c>
      <c r="H458">
        <v>3.82</v>
      </c>
      <c r="I458">
        <v>62231</v>
      </c>
      <c r="J458" t="s">
        <v>19</v>
      </c>
      <c r="K458">
        <v>470.82</v>
      </c>
      <c r="L458">
        <v>282.49200000000002</v>
      </c>
      <c r="M458">
        <v>3.99</v>
      </c>
      <c r="N458">
        <v>818</v>
      </c>
      <c r="O458" t="s">
        <v>27</v>
      </c>
      <c r="P458">
        <v>35208</v>
      </c>
    </row>
    <row r="459" spans="1:16" x14ac:dyDescent="0.35">
      <c r="A459">
        <v>779</v>
      </c>
      <c r="B459">
        <v>2008</v>
      </c>
      <c r="C459" t="str">
        <f>IF(book_sales[[#This Row],[Publishing Year]]&lt;1900,"Classic (Before 1900)",IF(book_sales[[#This Row],[Publishing Year]]&lt;2000,"20th Century (1900-1999)","21st Century (2000+)"))</f>
        <v>21st Century (2000+)</v>
      </c>
      <c r="D459" t="s">
        <v>1366</v>
      </c>
      <c r="E459" t="s">
        <v>275</v>
      </c>
      <c r="F459" t="s">
        <v>23</v>
      </c>
      <c r="G459" t="s">
        <v>532</v>
      </c>
      <c r="H459">
        <v>4.1100000000000003</v>
      </c>
      <c r="I459">
        <v>60126</v>
      </c>
      <c r="J459" t="s">
        <v>19</v>
      </c>
      <c r="K459">
        <v>458.85</v>
      </c>
      <c r="L459">
        <v>0</v>
      </c>
      <c r="M459">
        <v>3.99</v>
      </c>
      <c r="N459">
        <v>903</v>
      </c>
      <c r="O459" t="s">
        <v>27</v>
      </c>
      <c r="P459">
        <v>28296</v>
      </c>
    </row>
    <row r="460" spans="1:16" x14ac:dyDescent="0.35">
      <c r="A460">
        <v>360</v>
      </c>
      <c r="B460">
        <v>2001</v>
      </c>
      <c r="C460" t="str">
        <f>IF(book_sales[[#This Row],[Publishing Year]]&lt;1900,"Classic (Before 1900)",IF(book_sales[[#This Row],[Publishing Year]]&lt;2000,"20th Century (1900-1999)","21st Century (2000+)"))</f>
        <v>21st Century (2000+)</v>
      </c>
      <c r="D460" t="s">
        <v>677</v>
      </c>
      <c r="E460" t="s">
        <v>678</v>
      </c>
      <c r="F460" t="s">
        <v>23</v>
      </c>
      <c r="G460" t="s">
        <v>532</v>
      </c>
      <c r="H460">
        <v>4.04</v>
      </c>
      <c r="I460">
        <v>111371</v>
      </c>
      <c r="J460" t="s">
        <v>19</v>
      </c>
      <c r="K460">
        <v>687.7</v>
      </c>
      <c r="L460">
        <v>412.62</v>
      </c>
      <c r="M460">
        <v>2.99</v>
      </c>
      <c r="N460">
        <v>389</v>
      </c>
      <c r="O460" t="s">
        <v>133</v>
      </c>
      <c r="P460">
        <v>6210</v>
      </c>
    </row>
    <row r="461" spans="1:16" x14ac:dyDescent="0.35">
      <c r="A461">
        <v>503</v>
      </c>
      <c r="B461">
        <v>2001</v>
      </c>
      <c r="C461" t="str">
        <f>IF(book_sales[[#This Row],[Publishing Year]]&lt;1900,"Classic (Before 1900)",IF(book_sales[[#This Row],[Publishing Year]]&lt;2000,"20th Century (1900-1999)","21st Century (2000+)"))</f>
        <v>21st Century (2000+)</v>
      </c>
      <c r="D461" t="s">
        <v>919</v>
      </c>
      <c r="E461" t="s">
        <v>678</v>
      </c>
      <c r="F461" t="s">
        <v>23</v>
      </c>
      <c r="G461" t="s">
        <v>532</v>
      </c>
      <c r="H461">
        <v>4.18</v>
      </c>
      <c r="I461">
        <v>97736</v>
      </c>
      <c r="J461" t="s">
        <v>41</v>
      </c>
      <c r="K461">
        <v>322.38</v>
      </c>
      <c r="L461">
        <v>193.428</v>
      </c>
      <c r="M461">
        <v>1.99</v>
      </c>
      <c r="N461">
        <v>557</v>
      </c>
      <c r="O461" t="s">
        <v>27</v>
      </c>
      <c r="P461">
        <v>4374</v>
      </c>
    </row>
    <row r="462" spans="1:16" x14ac:dyDescent="0.35">
      <c r="A462">
        <v>596</v>
      </c>
      <c r="B462">
        <v>2002</v>
      </c>
      <c r="C462" t="str">
        <f>IF(book_sales[[#This Row],[Publishing Year]]&lt;1900,"Classic (Before 1900)",IF(book_sales[[#This Row],[Publishing Year]]&lt;2000,"20th Century (1900-1999)","21st Century (2000+)"))</f>
        <v>21st Century (2000+)</v>
      </c>
      <c r="D462" t="s">
        <v>1070</v>
      </c>
      <c r="E462" t="s">
        <v>678</v>
      </c>
      <c r="F462" t="s">
        <v>23</v>
      </c>
      <c r="G462" t="s">
        <v>532</v>
      </c>
      <c r="H462">
        <v>4.3</v>
      </c>
      <c r="I462">
        <v>91012</v>
      </c>
      <c r="J462" t="s">
        <v>19</v>
      </c>
      <c r="K462">
        <v>542.64</v>
      </c>
      <c r="L462">
        <v>0</v>
      </c>
      <c r="M462">
        <v>3.99</v>
      </c>
      <c r="N462">
        <v>676</v>
      </c>
      <c r="O462" t="s">
        <v>27</v>
      </c>
      <c r="P462">
        <v>52920</v>
      </c>
    </row>
    <row r="463" spans="1:16" x14ac:dyDescent="0.35">
      <c r="A463">
        <v>697</v>
      </c>
      <c r="B463">
        <v>2003</v>
      </c>
      <c r="C463" t="str">
        <f>IF(book_sales[[#This Row],[Publishing Year]]&lt;1900,"Classic (Before 1900)",IF(book_sales[[#This Row],[Publishing Year]]&lt;2000,"20th Century (1900-1999)","21st Century (2000+)"))</f>
        <v>21st Century (2000+)</v>
      </c>
      <c r="D463" t="s">
        <v>1236</v>
      </c>
      <c r="E463" t="s">
        <v>678</v>
      </c>
      <c r="F463" t="s">
        <v>23</v>
      </c>
      <c r="G463" t="s">
        <v>532</v>
      </c>
      <c r="H463">
        <v>4.32</v>
      </c>
      <c r="I463">
        <v>83664</v>
      </c>
      <c r="J463" t="s">
        <v>608</v>
      </c>
      <c r="K463">
        <v>654.9</v>
      </c>
      <c r="L463">
        <v>392.94</v>
      </c>
      <c r="M463">
        <v>5.55</v>
      </c>
      <c r="N463">
        <v>802</v>
      </c>
      <c r="O463" t="s">
        <v>27</v>
      </c>
      <c r="P463">
        <v>36072</v>
      </c>
    </row>
    <row r="464" spans="1:16" x14ac:dyDescent="0.35">
      <c r="A464">
        <v>773</v>
      </c>
      <c r="B464">
        <v>2004</v>
      </c>
      <c r="C464" t="str">
        <f>IF(book_sales[[#This Row],[Publishing Year]]&lt;1900,"Classic (Before 1900)",IF(book_sales[[#This Row],[Publishing Year]]&lt;2000,"20th Century (1900-1999)","21st Century (2000+)"))</f>
        <v>21st Century (2000+)</v>
      </c>
      <c r="D464" t="s">
        <v>1356</v>
      </c>
      <c r="E464" t="s">
        <v>678</v>
      </c>
      <c r="F464" t="s">
        <v>23</v>
      </c>
      <c r="G464" t="s">
        <v>532</v>
      </c>
      <c r="H464">
        <v>4.33</v>
      </c>
      <c r="I464">
        <v>79627</v>
      </c>
      <c r="J464" t="s">
        <v>41</v>
      </c>
      <c r="K464">
        <v>1041.68</v>
      </c>
      <c r="L464">
        <v>625.00800000000004</v>
      </c>
      <c r="M464">
        <v>8.98</v>
      </c>
      <c r="N464">
        <v>894</v>
      </c>
      <c r="O464" t="s">
        <v>27</v>
      </c>
      <c r="P464">
        <v>28944</v>
      </c>
    </row>
    <row r="465" spans="1:16" x14ac:dyDescent="0.35">
      <c r="A465">
        <v>809</v>
      </c>
      <c r="B465">
        <v>2005</v>
      </c>
      <c r="C465" t="str">
        <f>IF(book_sales[[#This Row],[Publishing Year]]&lt;1900,"Classic (Before 1900)",IF(book_sales[[#This Row],[Publishing Year]]&lt;2000,"20th Century (1900-1999)","21st Century (2000+)"))</f>
        <v>21st Century (2000+)</v>
      </c>
      <c r="D465" t="s">
        <v>1417</v>
      </c>
      <c r="E465" t="s">
        <v>678</v>
      </c>
      <c r="F465" t="s">
        <v>23</v>
      </c>
      <c r="G465" t="s">
        <v>53</v>
      </c>
      <c r="H465">
        <v>4.43</v>
      </c>
      <c r="I465">
        <v>78123</v>
      </c>
      <c r="J465" t="s">
        <v>19</v>
      </c>
      <c r="K465">
        <v>568.86</v>
      </c>
      <c r="L465">
        <v>0</v>
      </c>
      <c r="M465">
        <v>4.99</v>
      </c>
      <c r="N465">
        <v>944</v>
      </c>
      <c r="O465" t="s">
        <v>27</v>
      </c>
      <c r="P465">
        <v>2916</v>
      </c>
    </row>
    <row r="466" spans="1:16" x14ac:dyDescent="0.35">
      <c r="A466">
        <v>832</v>
      </c>
      <c r="B466">
        <v>2006</v>
      </c>
      <c r="C466" t="str">
        <f>IF(book_sales[[#This Row],[Publishing Year]]&lt;1900,"Classic (Before 1900)",IF(book_sales[[#This Row],[Publishing Year]]&lt;2000,"20th Century (1900-1999)","21st Century (2000+)"))</f>
        <v>21st Century (2000+)</v>
      </c>
      <c r="D466" t="s">
        <v>1442</v>
      </c>
      <c r="E466" t="s">
        <v>678</v>
      </c>
      <c r="F466" t="s">
        <v>23</v>
      </c>
      <c r="G466" t="s">
        <v>53</v>
      </c>
      <c r="H466">
        <v>4.41</v>
      </c>
      <c r="I466">
        <v>75133</v>
      </c>
      <c r="J466" t="s">
        <v>19</v>
      </c>
      <c r="K466">
        <v>778.62</v>
      </c>
      <c r="L466">
        <v>467.17200000000003</v>
      </c>
      <c r="M466">
        <v>6.83</v>
      </c>
      <c r="N466">
        <v>971</v>
      </c>
      <c r="O466" t="s">
        <v>66</v>
      </c>
      <c r="P466">
        <v>2889</v>
      </c>
    </row>
    <row r="467" spans="1:16" x14ac:dyDescent="0.35">
      <c r="A467">
        <v>863</v>
      </c>
      <c r="B467">
        <v>2007</v>
      </c>
      <c r="C467" t="str">
        <f>IF(book_sales[[#This Row],[Publishing Year]]&lt;1900,"Classic (Before 1900)",IF(book_sales[[#This Row],[Publishing Year]]&lt;2000,"20th Century (1900-1999)","21st Century (2000+)"))</f>
        <v>21st Century (2000+)</v>
      </c>
      <c r="D467" t="s">
        <v>1490</v>
      </c>
      <c r="E467" t="s">
        <v>678</v>
      </c>
      <c r="F467" t="s">
        <v>17</v>
      </c>
      <c r="G467" t="s">
        <v>53</v>
      </c>
      <c r="H467">
        <v>4.41</v>
      </c>
      <c r="I467">
        <v>73534</v>
      </c>
      <c r="J467" t="s">
        <v>30</v>
      </c>
      <c r="K467">
        <v>111.87</v>
      </c>
      <c r="L467">
        <v>67.122</v>
      </c>
      <c r="M467">
        <v>0.99</v>
      </c>
      <c r="N467">
        <v>1009</v>
      </c>
      <c r="O467" t="s">
        <v>27</v>
      </c>
      <c r="P467">
        <v>2862</v>
      </c>
    </row>
    <row r="468" spans="1:16" x14ac:dyDescent="0.35">
      <c r="A468">
        <v>919</v>
      </c>
      <c r="B468">
        <v>2008</v>
      </c>
      <c r="C468" t="str">
        <f>IF(book_sales[[#This Row],[Publishing Year]]&lt;1900,"Classic (Before 1900)",IF(book_sales[[#This Row],[Publishing Year]]&lt;2000,"20th Century (1900-1999)","21st Century (2000+)"))</f>
        <v>21st Century (2000+)</v>
      </c>
      <c r="D468" t="s">
        <v>1572</v>
      </c>
      <c r="E468" t="s">
        <v>678</v>
      </c>
      <c r="F468" t="s">
        <v>17</v>
      </c>
      <c r="G468" t="s">
        <v>53</v>
      </c>
      <c r="H468">
        <v>4.43</v>
      </c>
      <c r="I468">
        <v>70029</v>
      </c>
      <c r="J468" t="s">
        <v>41</v>
      </c>
      <c r="K468">
        <v>1219.8900000000001</v>
      </c>
      <c r="L468">
        <v>731.93399999999997</v>
      </c>
      <c r="M468">
        <v>10.99</v>
      </c>
      <c r="N468">
        <v>1077</v>
      </c>
      <c r="O468" t="s">
        <v>46</v>
      </c>
      <c r="P468">
        <v>4360</v>
      </c>
    </row>
    <row r="469" spans="1:16" x14ac:dyDescent="0.35">
      <c r="A469">
        <v>948</v>
      </c>
      <c r="B469">
        <v>2004</v>
      </c>
      <c r="C469" t="str">
        <f>IF(book_sales[[#This Row],[Publishing Year]]&lt;1900,"Classic (Before 1900)",IF(book_sales[[#This Row],[Publishing Year]]&lt;2000,"20th Century (1900-1999)","21st Century (2000+)"))</f>
        <v>21st Century (2000+)</v>
      </c>
      <c r="D469" t="s">
        <v>1619</v>
      </c>
      <c r="E469" t="s">
        <v>678</v>
      </c>
      <c r="F469" t="s">
        <v>23</v>
      </c>
      <c r="G469" t="s">
        <v>532</v>
      </c>
      <c r="H469">
        <v>4.12</v>
      </c>
      <c r="I469">
        <v>70269</v>
      </c>
      <c r="J469" t="s">
        <v>19</v>
      </c>
      <c r="K469">
        <v>108.9</v>
      </c>
      <c r="L469">
        <v>0</v>
      </c>
      <c r="M469">
        <v>0.99</v>
      </c>
      <c r="N469">
        <v>1119</v>
      </c>
      <c r="O469" t="s">
        <v>27</v>
      </c>
      <c r="P469">
        <v>4280</v>
      </c>
    </row>
    <row r="470" spans="1:16" x14ac:dyDescent="0.35">
      <c r="A470">
        <v>520</v>
      </c>
      <c r="B470">
        <v>1998</v>
      </c>
      <c r="C470" t="str">
        <f>IF(book_sales[[#This Row],[Publishing Year]]&lt;1900,"Classic (Before 1900)",IF(book_sales[[#This Row],[Publishing Year]]&lt;2000,"20th Century (1900-1999)","21st Century (2000+)"))</f>
        <v>20th Century (1900-1999)</v>
      </c>
      <c r="D470" t="s">
        <v>947</v>
      </c>
      <c r="E470" t="s">
        <v>948</v>
      </c>
      <c r="F470" t="s">
        <v>23</v>
      </c>
      <c r="G470" t="s">
        <v>24</v>
      </c>
      <c r="H470">
        <v>3.88</v>
      </c>
      <c r="I470">
        <v>84367</v>
      </c>
      <c r="J470" t="s">
        <v>19</v>
      </c>
      <c r="K470">
        <v>472.42</v>
      </c>
      <c r="L470">
        <v>283.452</v>
      </c>
      <c r="M470">
        <v>2.99</v>
      </c>
      <c r="N470">
        <v>576</v>
      </c>
      <c r="O470" t="s">
        <v>27</v>
      </c>
      <c r="P470">
        <v>4266</v>
      </c>
    </row>
    <row r="471" spans="1:16" x14ac:dyDescent="0.35">
      <c r="A471">
        <v>364</v>
      </c>
      <c r="B471">
        <v>2005</v>
      </c>
      <c r="C471" t="str">
        <f>IF(book_sales[[#This Row],[Publishing Year]]&lt;1900,"Classic (Before 1900)",IF(book_sales[[#This Row],[Publishing Year]]&lt;2000,"20th Century (1900-1999)","21st Century (2000+)"))</f>
        <v>21st Century (2000+)</v>
      </c>
      <c r="D471" t="s">
        <v>684</v>
      </c>
      <c r="E471" t="s">
        <v>685</v>
      </c>
      <c r="F471" t="s">
        <v>23</v>
      </c>
      <c r="G471" t="s">
        <v>24</v>
      </c>
      <c r="H471">
        <v>3.86</v>
      </c>
      <c r="I471">
        <v>94590</v>
      </c>
      <c r="J471" t="s">
        <v>19</v>
      </c>
      <c r="K471">
        <v>909.72</v>
      </c>
      <c r="L471">
        <v>0</v>
      </c>
      <c r="M471">
        <v>3.99</v>
      </c>
      <c r="N471">
        <v>393</v>
      </c>
      <c r="O471" t="s">
        <v>27</v>
      </c>
      <c r="P471">
        <v>6156</v>
      </c>
    </row>
    <row r="472" spans="1:16" x14ac:dyDescent="0.35">
      <c r="A472">
        <v>600</v>
      </c>
      <c r="B472">
        <v>1998</v>
      </c>
      <c r="C472" t="str">
        <f>IF(book_sales[[#This Row],[Publishing Year]]&lt;1900,"Classic (Before 1900)",IF(book_sales[[#This Row],[Publishing Year]]&lt;2000,"20th Century (1900-1999)","21st Century (2000+)"))</f>
        <v>20th Century (1900-1999)</v>
      </c>
      <c r="D472" t="s">
        <v>1076</v>
      </c>
      <c r="E472" t="s">
        <v>1077</v>
      </c>
      <c r="F472" t="s">
        <v>23</v>
      </c>
      <c r="G472" t="s">
        <v>24</v>
      </c>
      <c r="H472">
        <v>3.95</v>
      </c>
      <c r="I472">
        <v>84770</v>
      </c>
      <c r="J472" t="s">
        <v>41</v>
      </c>
      <c r="K472">
        <v>873.68</v>
      </c>
      <c r="L472">
        <v>524.20799999999997</v>
      </c>
      <c r="M472">
        <v>6.52</v>
      </c>
      <c r="N472">
        <v>682</v>
      </c>
      <c r="O472" t="s">
        <v>27</v>
      </c>
      <c r="P472">
        <v>52056</v>
      </c>
    </row>
    <row r="473" spans="1:16" x14ac:dyDescent="0.35">
      <c r="A473">
        <v>939</v>
      </c>
      <c r="B473">
        <v>2012</v>
      </c>
      <c r="C473" t="str">
        <f>IF(book_sales[[#This Row],[Publishing Year]]&lt;1900,"Classic (Before 1900)",IF(book_sales[[#This Row],[Publishing Year]]&lt;2000,"20th Century (1900-1999)","21st Century (2000+)"))</f>
        <v>21st Century (2000+)</v>
      </c>
      <c r="D473" t="s">
        <v>1603</v>
      </c>
      <c r="E473" t="s">
        <v>1604</v>
      </c>
      <c r="F473" t="s">
        <v>23</v>
      </c>
      <c r="G473" t="s">
        <v>532</v>
      </c>
      <c r="H473">
        <v>4.13</v>
      </c>
      <c r="I473">
        <v>79461</v>
      </c>
      <c r="J473" t="s">
        <v>19</v>
      </c>
      <c r="K473">
        <v>108.9</v>
      </c>
      <c r="L473">
        <v>65.34</v>
      </c>
      <c r="M473">
        <v>0.99</v>
      </c>
      <c r="N473">
        <v>1102</v>
      </c>
      <c r="O473" t="s">
        <v>27</v>
      </c>
      <c r="P473">
        <v>4320</v>
      </c>
    </row>
    <row r="474" spans="1:16" x14ac:dyDescent="0.35">
      <c r="A474">
        <v>85</v>
      </c>
      <c r="B474">
        <v>2000</v>
      </c>
      <c r="C474" t="str">
        <f>IF(book_sales[[#This Row],[Publishing Year]]&lt;1900,"Classic (Before 1900)",IF(book_sales[[#This Row],[Publishing Year]]&lt;2000,"20th Century (1900-1999)","21st Century (2000+)"))</f>
        <v>21st Century (2000+)</v>
      </c>
      <c r="D474" t="s">
        <v>193</v>
      </c>
      <c r="E474" t="s">
        <v>194</v>
      </c>
      <c r="F474" t="s">
        <v>23</v>
      </c>
      <c r="G474" t="s">
        <v>24</v>
      </c>
      <c r="H474">
        <v>3.97</v>
      </c>
      <c r="I474">
        <v>128406</v>
      </c>
      <c r="J474" t="s">
        <v>19</v>
      </c>
      <c r="K474">
        <v>1188</v>
      </c>
      <c r="L474">
        <v>0</v>
      </c>
      <c r="M474">
        <v>0.99</v>
      </c>
      <c r="N474">
        <v>87</v>
      </c>
      <c r="O474" t="s">
        <v>27</v>
      </c>
      <c r="P474">
        <v>1200</v>
      </c>
    </row>
    <row r="475" spans="1:16" x14ac:dyDescent="0.35">
      <c r="A475">
        <v>218</v>
      </c>
      <c r="B475">
        <v>2013</v>
      </c>
      <c r="C475" t="str">
        <f>IF(book_sales[[#This Row],[Publishing Year]]&lt;1900,"Classic (Before 1900)",IF(book_sales[[#This Row],[Publishing Year]]&lt;2000,"20th Century (1900-1999)","21st Century (2000+)"))</f>
        <v>21st Century (2000+)</v>
      </c>
      <c r="D475" t="s">
        <v>424</v>
      </c>
      <c r="E475" t="s">
        <v>194</v>
      </c>
      <c r="F475" t="s">
        <v>23</v>
      </c>
      <c r="G475" t="s">
        <v>24</v>
      </c>
      <c r="H475">
        <v>4.26</v>
      </c>
      <c r="I475">
        <v>109313</v>
      </c>
      <c r="J475" t="s">
        <v>19</v>
      </c>
      <c r="K475">
        <v>430.65</v>
      </c>
      <c r="L475">
        <v>0</v>
      </c>
      <c r="M475">
        <v>0.99</v>
      </c>
      <c r="N475">
        <v>239</v>
      </c>
      <c r="O475" t="s">
        <v>27</v>
      </c>
      <c r="P475">
        <v>435</v>
      </c>
    </row>
    <row r="476" spans="1:16" x14ac:dyDescent="0.35">
      <c r="A476">
        <v>260</v>
      </c>
      <c r="B476">
        <v>2010</v>
      </c>
      <c r="C476" t="str">
        <f>IF(book_sales[[#This Row],[Publishing Year]]&lt;1900,"Classic (Before 1900)",IF(book_sales[[#This Row],[Publishing Year]]&lt;2000,"20th Century (1900-1999)","21st Century (2000+)"))</f>
        <v>21st Century (2000+)</v>
      </c>
      <c r="D476" t="s">
        <v>497</v>
      </c>
      <c r="E476" t="s">
        <v>194</v>
      </c>
      <c r="F476" t="s">
        <v>17</v>
      </c>
      <c r="G476" t="s">
        <v>24</v>
      </c>
      <c r="H476">
        <v>4.01</v>
      </c>
      <c r="I476">
        <v>111239</v>
      </c>
      <c r="J476" t="s">
        <v>41</v>
      </c>
      <c r="K476">
        <v>4084.35</v>
      </c>
      <c r="L476">
        <v>2450.61</v>
      </c>
      <c r="M476">
        <v>11.19</v>
      </c>
      <c r="N476">
        <v>281</v>
      </c>
      <c r="O476" t="s">
        <v>20</v>
      </c>
      <c r="P476">
        <v>365</v>
      </c>
    </row>
    <row r="477" spans="1:16" x14ac:dyDescent="0.35">
      <c r="A477">
        <v>377</v>
      </c>
      <c r="B477">
        <v>2006</v>
      </c>
      <c r="C477" t="str">
        <f>IF(book_sales[[#This Row],[Publishing Year]]&lt;1900,"Classic (Before 1900)",IF(book_sales[[#This Row],[Publishing Year]]&lt;2000,"20th Century (1900-1999)","21st Century (2000+)"))</f>
        <v>21st Century (2000+)</v>
      </c>
      <c r="D477" t="s">
        <v>709</v>
      </c>
      <c r="E477" t="s">
        <v>194</v>
      </c>
      <c r="F477" t="s">
        <v>23</v>
      </c>
      <c r="G477" t="s">
        <v>18</v>
      </c>
      <c r="H477">
        <v>3.48</v>
      </c>
      <c r="I477">
        <v>99170</v>
      </c>
      <c r="J477" t="s">
        <v>19</v>
      </c>
      <c r="K477">
        <v>3955.6</v>
      </c>
      <c r="L477">
        <v>2373.36</v>
      </c>
      <c r="M477">
        <v>17.98</v>
      </c>
      <c r="N477">
        <v>409</v>
      </c>
      <c r="O477" t="s">
        <v>27</v>
      </c>
      <c r="P477">
        <v>5940</v>
      </c>
    </row>
    <row r="478" spans="1:16" x14ac:dyDescent="0.35">
      <c r="A478">
        <v>448</v>
      </c>
      <c r="B478">
        <v>2014</v>
      </c>
      <c r="C478" t="str">
        <f>IF(book_sales[[#This Row],[Publishing Year]]&lt;1900,"Classic (Before 1900)",IF(book_sales[[#This Row],[Publishing Year]]&lt;2000,"20th Century (1900-1999)","21st Century (2000+)"))</f>
        <v>21st Century (2000+)</v>
      </c>
      <c r="D478" t="s">
        <v>829</v>
      </c>
      <c r="E478" t="s">
        <v>194</v>
      </c>
      <c r="F478" t="s">
        <v>23</v>
      </c>
      <c r="G478" t="s">
        <v>24</v>
      </c>
      <c r="H478">
        <v>3.94</v>
      </c>
      <c r="I478">
        <v>76553</v>
      </c>
      <c r="J478" t="s">
        <v>30</v>
      </c>
      <c r="K478">
        <v>175.23</v>
      </c>
      <c r="L478">
        <v>105.13800000000001</v>
      </c>
      <c r="M478">
        <v>0.99</v>
      </c>
      <c r="N478">
        <v>495</v>
      </c>
      <c r="O478" t="s">
        <v>27</v>
      </c>
      <c r="P478">
        <v>4779</v>
      </c>
    </row>
    <row r="479" spans="1:16" x14ac:dyDescent="0.35">
      <c r="A479">
        <v>521</v>
      </c>
      <c r="B479">
        <v>2009</v>
      </c>
      <c r="C479" t="str">
        <f>IF(book_sales[[#This Row],[Publishing Year]]&lt;1900,"Classic (Before 1900)",IF(book_sales[[#This Row],[Publishing Year]]&lt;2000,"20th Century (1900-1999)","21st Century (2000+)"))</f>
        <v>21st Century (2000+)</v>
      </c>
      <c r="D479" t="s">
        <v>949</v>
      </c>
      <c r="E479" t="s">
        <v>194</v>
      </c>
      <c r="F479" t="s">
        <v>23</v>
      </c>
      <c r="G479" t="s">
        <v>24</v>
      </c>
      <c r="H479">
        <v>3.96</v>
      </c>
      <c r="I479">
        <v>90138</v>
      </c>
      <c r="J479" t="s">
        <v>30</v>
      </c>
      <c r="K479">
        <v>1420.42</v>
      </c>
      <c r="L479">
        <v>852.25199999999995</v>
      </c>
      <c r="M479">
        <v>8.99</v>
      </c>
      <c r="N479">
        <v>577</v>
      </c>
      <c r="O479" t="s">
        <v>20</v>
      </c>
      <c r="P479">
        <v>4266</v>
      </c>
    </row>
    <row r="480" spans="1:16" x14ac:dyDescent="0.35">
      <c r="A480">
        <v>570</v>
      </c>
      <c r="B480">
        <v>2008</v>
      </c>
      <c r="C480" t="str">
        <f>IF(book_sales[[#This Row],[Publishing Year]]&lt;1900,"Classic (Before 1900)",IF(book_sales[[#This Row],[Publishing Year]]&lt;2000,"20th Century (1900-1999)","21st Century (2000+)"))</f>
        <v>21st Century (2000+)</v>
      </c>
      <c r="D480" t="s">
        <v>1033</v>
      </c>
      <c r="E480" t="s">
        <v>194</v>
      </c>
      <c r="F480" t="s">
        <v>17</v>
      </c>
      <c r="G480" t="s">
        <v>24</v>
      </c>
      <c r="H480">
        <v>3.91</v>
      </c>
      <c r="I480">
        <v>86471</v>
      </c>
      <c r="J480" t="s">
        <v>19</v>
      </c>
      <c r="K480">
        <v>990.35</v>
      </c>
      <c r="L480">
        <v>594.21</v>
      </c>
      <c r="M480">
        <v>6.83</v>
      </c>
      <c r="N480">
        <v>634</v>
      </c>
      <c r="O480" t="s">
        <v>66</v>
      </c>
      <c r="P480">
        <v>3915</v>
      </c>
    </row>
    <row r="481" spans="1:16" x14ac:dyDescent="0.35">
      <c r="A481">
        <v>618</v>
      </c>
      <c r="B481">
        <v>2005</v>
      </c>
      <c r="C481" t="str">
        <f>IF(book_sales[[#This Row],[Publishing Year]]&lt;1900,"Classic (Before 1900)",IF(book_sales[[#This Row],[Publishing Year]]&lt;2000,"20th Century (1900-1999)","21st Century (2000+)"))</f>
        <v>21st Century (2000+)</v>
      </c>
      <c r="D481" t="s">
        <v>1108</v>
      </c>
      <c r="E481" t="s">
        <v>194</v>
      </c>
      <c r="F481" t="s">
        <v>17</v>
      </c>
      <c r="G481" t="s">
        <v>24</v>
      </c>
      <c r="H481">
        <v>3.68</v>
      </c>
      <c r="I481">
        <v>79662</v>
      </c>
      <c r="J481" t="s">
        <v>19</v>
      </c>
      <c r="K481">
        <v>258.7</v>
      </c>
      <c r="L481">
        <v>155.22</v>
      </c>
      <c r="M481">
        <v>1.99</v>
      </c>
      <c r="N481">
        <v>703</v>
      </c>
      <c r="O481" t="s">
        <v>46</v>
      </c>
      <c r="P481">
        <v>48816</v>
      </c>
    </row>
    <row r="482" spans="1:16" x14ac:dyDescent="0.35">
      <c r="A482">
        <v>895</v>
      </c>
      <c r="B482">
        <v>1999</v>
      </c>
      <c r="C482" t="str">
        <f>IF(book_sales[[#This Row],[Publishing Year]]&lt;1900,"Classic (Before 1900)",IF(book_sales[[#This Row],[Publishing Year]]&lt;2000,"20th Century (1900-1999)","21st Century (2000+)"))</f>
        <v>20th Century (1900-1999)</v>
      </c>
      <c r="D482" t="s">
        <v>1535</v>
      </c>
      <c r="E482" t="s">
        <v>194</v>
      </c>
      <c r="G482" t="s">
        <v>24</v>
      </c>
      <c r="H482">
        <v>3.79</v>
      </c>
      <c r="I482">
        <v>62405</v>
      </c>
      <c r="J482" t="s">
        <v>19</v>
      </c>
      <c r="K482">
        <v>109.89</v>
      </c>
      <c r="L482">
        <v>0</v>
      </c>
      <c r="M482">
        <v>0.99</v>
      </c>
      <c r="N482">
        <v>1052</v>
      </c>
      <c r="O482" t="s">
        <v>27</v>
      </c>
      <c r="P482">
        <v>4400</v>
      </c>
    </row>
    <row r="483" spans="1:16" x14ac:dyDescent="0.35">
      <c r="A483">
        <v>1001</v>
      </c>
      <c r="B483">
        <v>2011</v>
      </c>
      <c r="C483" t="str">
        <f>IF(book_sales[[#This Row],[Publishing Year]]&lt;1900,"Classic (Before 1900)",IF(book_sales[[#This Row],[Publishing Year]]&lt;2000,"20th Century (1900-1999)","21st Century (2000+)"))</f>
        <v>21st Century (2000+)</v>
      </c>
      <c r="D483" t="s">
        <v>1702</v>
      </c>
      <c r="E483" t="s">
        <v>194</v>
      </c>
      <c r="F483" t="s">
        <v>17</v>
      </c>
      <c r="G483" t="s">
        <v>24</v>
      </c>
      <c r="H483">
        <v>3.76</v>
      </c>
      <c r="I483">
        <v>62494</v>
      </c>
      <c r="J483" t="s">
        <v>19</v>
      </c>
      <c r="K483">
        <v>516.24</v>
      </c>
      <c r="L483">
        <v>309.74400000000003</v>
      </c>
      <c r="M483">
        <v>4.78</v>
      </c>
      <c r="N483">
        <v>1184</v>
      </c>
      <c r="O483" t="s">
        <v>27</v>
      </c>
      <c r="P483">
        <v>108</v>
      </c>
    </row>
    <row r="484" spans="1:16" x14ac:dyDescent="0.35">
      <c r="A484">
        <v>386</v>
      </c>
      <c r="B484">
        <v>2006</v>
      </c>
      <c r="C484" t="str">
        <f>IF(book_sales[[#This Row],[Publishing Year]]&lt;1900,"Classic (Before 1900)",IF(book_sales[[#This Row],[Publishing Year]]&lt;2000,"20th Century (1900-1999)","21st Century (2000+)"))</f>
        <v>21st Century (2000+)</v>
      </c>
      <c r="D484" t="s">
        <v>724</v>
      </c>
      <c r="E484" t="s">
        <v>725</v>
      </c>
      <c r="F484" t="s">
        <v>23</v>
      </c>
      <c r="G484" t="s">
        <v>532</v>
      </c>
      <c r="H484">
        <v>4.1399999999999997</v>
      </c>
      <c r="I484">
        <v>97501</v>
      </c>
      <c r="J484" t="s">
        <v>19</v>
      </c>
      <c r="K484">
        <v>1717.85</v>
      </c>
      <c r="L484">
        <v>1030.71</v>
      </c>
      <c r="M484">
        <v>7.99</v>
      </c>
      <c r="N484">
        <v>419</v>
      </c>
      <c r="O484" t="s">
        <v>46</v>
      </c>
      <c r="P484">
        <v>5805</v>
      </c>
    </row>
    <row r="485" spans="1:16" x14ac:dyDescent="0.35">
      <c r="A485">
        <v>699</v>
      </c>
      <c r="B485">
        <v>2007</v>
      </c>
      <c r="C485" t="str">
        <f>IF(book_sales[[#This Row],[Publishing Year]]&lt;1900,"Classic (Before 1900)",IF(book_sales[[#This Row],[Publishing Year]]&lt;2000,"20th Century (1900-1999)","21st Century (2000+)"))</f>
        <v>21st Century (2000+)</v>
      </c>
      <c r="D485" t="s">
        <v>1239</v>
      </c>
      <c r="E485" t="s">
        <v>725</v>
      </c>
      <c r="F485" t="s">
        <v>23</v>
      </c>
      <c r="G485" t="s">
        <v>532</v>
      </c>
      <c r="H485">
        <v>4.2699999999999996</v>
      </c>
      <c r="I485">
        <v>68865</v>
      </c>
      <c r="J485" t="s">
        <v>19</v>
      </c>
      <c r="K485">
        <v>116.82</v>
      </c>
      <c r="L485">
        <v>70.091999999999999</v>
      </c>
      <c r="M485">
        <v>0.99</v>
      </c>
      <c r="N485">
        <v>804</v>
      </c>
      <c r="O485" t="s">
        <v>46</v>
      </c>
      <c r="P485">
        <v>35856</v>
      </c>
    </row>
    <row r="486" spans="1:16" x14ac:dyDescent="0.35">
      <c r="A486">
        <v>815</v>
      </c>
      <c r="B486">
        <v>2008</v>
      </c>
      <c r="C486" t="str">
        <f>IF(book_sales[[#This Row],[Publishing Year]]&lt;1900,"Classic (Before 1900)",IF(book_sales[[#This Row],[Publishing Year]]&lt;2000,"20th Century (1900-1999)","21st Century (2000+)"))</f>
        <v>21st Century (2000+)</v>
      </c>
      <c r="D486" t="s">
        <v>1424</v>
      </c>
      <c r="E486" t="s">
        <v>725</v>
      </c>
      <c r="F486" t="s">
        <v>23</v>
      </c>
      <c r="G486" t="s">
        <v>532</v>
      </c>
      <c r="H486">
        <v>4.26</v>
      </c>
      <c r="I486">
        <v>65068</v>
      </c>
      <c r="J486" t="s">
        <v>19</v>
      </c>
      <c r="K486">
        <v>568.86</v>
      </c>
      <c r="L486">
        <v>341.31599999999997</v>
      </c>
      <c r="M486">
        <v>4.99</v>
      </c>
      <c r="N486">
        <v>952</v>
      </c>
      <c r="O486" t="s">
        <v>133</v>
      </c>
      <c r="P486">
        <v>2916</v>
      </c>
    </row>
    <row r="487" spans="1:16" x14ac:dyDescent="0.35">
      <c r="A487">
        <v>383</v>
      </c>
      <c r="B487">
        <v>1974</v>
      </c>
      <c r="C487" t="str">
        <f>IF(book_sales[[#This Row],[Publishing Year]]&lt;1900,"Classic (Before 1900)",IF(book_sales[[#This Row],[Publishing Year]]&lt;2000,"20th Century (1900-1999)","21st Century (2000+)"))</f>
        <v>20th Century (1900-1999)</v>
      </c>
      <c r="D487" t="s">
        <v>718</v>
      </c>
      <c r="E487" t="s">
        <v>719</v>
      </c>
      <c r="F487" t="s">
        <v>23</v>
      </c>
      <c r="G487" t="s">
        <v>532</v>
      </c>
      <c r="H487">
        <v>4.1500000000000004</v>
      </c>
      <c r="I487">
        <v>87636</v>
      </c>
      <c r="J487" t="s">
        <v>19</v>
      </c>
      <c r="K487">
        <v>214.83</v>
      </c>
      <c r="L487">
        <v>128.898</v>
      </c>
      <c r="M487">
        <v>0.99</v>
      </c>
      <c r="N487">
        <v>416</v>
      </c>
      <c r="O487" t="s">
        <v>27</v>
      </c>
      <c r="P487">
        <v>5859</v>
      </c>
    </row>
    <row r="488" spans="1:16" x14ac:dyDescent="0.35">
      <c r="A488">
        <v>872</v>
      </c>
      <c r="B488">
        <v>2009</v>
      </c>
      <c r="C488" t="str">
        <f>IF(book_sales[[#This Row],[Publishing Year]]&lt;1900,"Classic (Before 1900)",IF(book_sales[[#This Row],[Publishing Year]]&lt;2000,"20th Century (1900-1999)","21st Century (2000+)"))</f>
        <v>21st Century (2000+)</v>
      </c>
      <c r="D488" t="s">
        <v>1502</v>
      </c>
      <c r="E488" t="s">
        <v>1503</v>
      </c>
      <c r="F488" t="s">
        <v>17</v>
      </c>
      <c r="G488" t="s">
        <v>24</v>
      </c>
      <c r="H488">
        <v>3.92</v>
      </c>
      <c r="I488">
        <v>66287</v>
      </c>
      <c r="J488" t="s">
        <v>41</v>
      </c>
      <c r="K488">
        <v>334.88</v>
      </c>
      <c r="L488">
        <v>200.928</v>
      </c>
      <c r="M488">
        <v>2.99</v>
      </c>
      <c r="N488">
        <v>1022</v>
      </c>
      <c r="O488" t="s">
        <v>31</v>
      </c>
      <c r="P488">
        <v>4480</v>
      </c>
    </row>
    <row r="489" spans="1:16" x14ac:dyDescent="0.35">
      <c r="A489">
        <v>896</v>
      </c>
      <c r="B489">
        <v>2007</v>
      </c>
      <c r="C489" t="str">
        <f>IF(book_sales[[#This Row],[Publishing Year]]&lt;1900,"Classic (Before 1900)",IF(book_sales[[#This Row],[Publishing Year]]&lt;2000,"20th Century (1900-1999)","21st Century (2000+)"))</f>
        <v>21st Century (2000+)</v>
      </c>
      <c r="D489" t="s">
        <v>1536</v>
      </c>
      <c r="E489" t="s">
        <v>1503</v>
      </c>
      <c r="F489" t="s">
        <v>17</v>
      </c>
      <c r="G489" t="s">
        <v>24</v>
      </c>
      <c r="H489">
        <v>3.82</v>
      </c>
      <c r="I489">
        <v>65005</v>
      </c>
      <c r="J489" t="s">
        <v>19</v>
      </c>
      <c r="K489">
        <v>331.89</v>
      </c>
      <c r="L489">
        <v>0</v>
      </c>
      <c r="M489">
        <v>2.99</v>
      </c>
      <c r="N489">
        <v>1052</v>
      </c>
      <c r="O489" t="s">
        <v>27</v>
      </c>
      <c r="P489">
        <v>4400</v>
      </c>
    </row>
    <row r="490" spans="1:16" x14ac:dyDescent="0.35">
      <c r="A490">
        <v>676</v>
      </c>
      <c r="B490">
        <v>1812</v>
      </c>
      <c r="C490" t="str">
        <f>IF(book_sales[[#This Row],[Publishing Year]]&lt;1900,"Classic (Before 1900)",IF(book_sales[[#This Row],[Publishing Year]]&lt;2000,"20th Century (1900-1999)","21st Century (2000+)"))</f>
        <v>Classic (Before 1900)</v>
      </c>
      <c r="D490" t="s">
        <v>1205</v>
      </c>
      <c r="E490" t="s">
        <v>1206</v>
      </c>
      <c r="F490" t="s">
        <v>23</v>
      </c>
      <c r="G490" t="s">
        <v>24</v>
      </c>
      <c r="H490">
        <v>3.92</v>
      </c>
      <c r="I490">
        <v>78355</v>
      </c>
      <c r="J490" t="s">
        <v>19</v>
      </c>
      <c r="K490">
        <v>355.81</v>
      </c>
      <c r="L490">
        <v>0</v>
      </c>
      <c r="M490">
        <v>2.99</v>
      </c>
      <c r="N490">
        <v>779</v>
      </c>
      <c r="O490" t="s">
        <v>27</v>
      </c>
      <c r="P490">
        <v>37584</v>
      </c>
    </row>
    <row r="491" spans="1:16" x14ac:dyDescent="0.35">
      <c r="A491">
        <v>108</v>
      </c>
      <c r="B491">
        <v>1880</v>
      </c>
      <c r="C491" t="str">
        <f>IF(book_sales[[#This Row],[Publishing Year]]&lt;1900,"Classic (Before 1900)",IF(book_sales[[#This Row],[Publishing Year]]&lt;2000,"20th Century (1900-1999)","21st Century (2000+)"))</f>
        <v>Classic (Before 1900)</v>
      </c>
      <c r="D491" t="s">
        <v>234</v>
      </c>
      <c r="E491" t="s">
        <v>235</v>
      </c>
      <c r="F491" t="s">
        <v>23</v>
      </c>
      <c r="G491" t="s">
        <v>24</v>
      </c>
      <c r="H491">
        <v>3.97</v>
      </c>
      <c r="I491">
        <v>144497</v>
      </c>
      <c r="J491" t="s">
        <v>19</v>
      </c>
      <c r="K491">
        <v>3730.65</v>
      </c>
      <c r="L491">
        <v>2238.39</v>
      </c>
      <c r="M491">
        <v>3.99</v>
      </c>
      <c r="N491">
        <v>113</v>
      </c>
      <c r="O491" t="s">
        <v>34</v>
      </c>
      <c r="P491">
        <v>935</v>
      </c>
    </row>
    <row r="492" spans="1:16" x14ac:dyDescent="0.35">
      <c r="A492">
        <v>7</v>
      </c>
      <c r="B492">
        <v>1994</v>
      </c>
      <c r="C492" t="str">
        <f>IF(book_sales[[#This Row],[Publishing Year]]&lt;1900,"Classic (Before 1900)",IF(book_sales[[#This Row],[Publishing Year]]&lt;2000,"20th Century (1900-1999)","21st Century (2000+)"))</f>
        <v>20th Century (1900-1999)</v>
      </c>
      <c r="D492" t="s">
        <v>39</v>
      </c>
      <c r="E492" t="s">
        <v>40</v>
      </c>
      <c r="F492" t="s">
        <v>23</v>
      </c>
      <c r="G492" t="s">
        <v>24</v>
      </c>
      <c r="H492">
        <v>3.9</v>
      </c>
      <c r="I492">
        <v>167997</v>
      </c>
      <c r="J492" t="s">
        <v>41</v>
      </c>
      <c r="K492">
        <v>26182</v>
      </c>
      <c r="L492">
        <v>15709.2</v>
      </c>
      <c r="M492">
        <v>6.89</v>
      </c>
      <c r="N492">
        <v>8</v>
      </c>
      <c r="O492" t="s">
        <v>31</v>
      </c>
      <c r="P492">
        <v>3800</v>
      </c>
    </row>
    <row r="493" spans="1:16" x14ac:dyDescent="0.35">
      <c r="A493">
        <v>598</v>
      </c>
      <c r="B493">
        <v>2007</v>
      </c>
      <c r="C493" t="str">
        <f>IF(book_sales[[#This Row],[Publishing Year]]&lt;1900,"Classic (Before 1900)",IF(book_sales[[#This Row],[Publishing Year]]&lt;2000,"20th Century (1900-1999)","21st Century (2000+)"))</f>
        <v>21st Century (2000+)</v>
      </c>
      <c r="D493" t="s">
        <v>1073</v>
      </c>
      <c r="E493" t="s">
        <v>1074</v>
      </c>
      <c r="F493" t="s">
        <v>23</v>
      </c>
      <c r="G493" t="s">
        <v>24</v>
      </c>
      <c r="H493">
        <v>3.81</v>
      </c>
      <c r="I493">
        <v>108399</v>
      </c>
      <c r="J493" t="s">
        <v>19</v>
      </c>
      <c r="K493">
        <v>538.65</v>
      </c>
      <c r="L493">
        <v>0</v>
      </c>
      <c r="M493">
        <v>3.99</v>
      </c>
      <c r="N493">
        <v>680</v>
      </c>
      <c r="O493" t="s">
        <v>27</v>
      </c>
      <c r="P493">
        <v>52488</v>
      </c>
    </row>
    <row r="494" spans="1:16" x14ac:dyDescent="0.35">
      <c r="A494">
        <v>712</v>
      </c>
      <c r="B494">
        <v>2004</v>
      </c>
      <c r="C494" t="str">
        <f>IF(book_sales[[#This Row],[Publishing Year]]&lt;1900,"Classic (Before 1900)",IF(book_sales[[#This Row],[Publishing Year]]&lt;2000,"20th Century (1900-1999)","21st Century (2000+)"))</f>
        <v>21st Century (2000+)</v>
      </c>
      <c r="D494" t="s">
        <v>1259</v>
      </c>
      <c r="E494" t="s">
        <v>1260</v>
      </c>
      <c r="F494" t="s">
        <v>23</v>
      </c>
      <c r="G494" t="s">
        <v>532</v>
      </c>
      <c r="H494">
        <v>4.2</v>
      </c>
      <c r="I494">
        <v>83085</v>
      </c>
      <c r="J494" t="s">
        <v>41</v>
      </c>
      <c r="K494">
        <v>824.82</v>
      </c>
      <c r="L494">
        <v>494.892</v>
      </c>
      <c r="M494">
        <v>6.99</v>
      </c>
      <c r="N494">
        <v>818</v>
      </c>
      <c r="O494" t="s">
        <v>46</v>
      </c>
      <c r="P494">
        <v>34992</v>
      </c>
    </row>
    <row r="495" spans="1:16" x14ac:dyDescent="0.35">
      <c r="A495">
        <v>868</v>
      </c>
      <c r="B495">
        <v>2005</v>
      </c>
      <c r="C495" t="str">
        <f>IF(book_sales[[#This Row],[Publishing Year]]&lt;1900,"Classic (Before 1900)",IF(book_sales[[#This Row],[Publishing Year]]&lt;2000,"20th Century (1900-1999)","21st Century (2000+)"))</f>
        <v>21st Century (2000+)</v>
      </c>
      <c r="D495" t="s">
        <v>1497</v>
      </c>
      <c r="E495" t="s">
        <v>1260</v>
      </c>
      <c r="F495" t="s">
        <v>17</v>
      </c>
      <c r="G495" t="s">
        <v>532</v>
      </c>
      <c r="H495">
        <v>4.28</v>
      </c>
      <c r="I495">
        <v>74156</v>
      </c>
      <c r="J495" t="s">
        <v>41</v>
      </c>
      <c r="K495">
        <v>838.88</v>
      </c>
      <c r="L495">
        <v>503.32799999999997</v>
      </c>
      <c r="M495">
        <v>7.49</v>
      </c>
      <c r="N495">
        <v>1015</v>
      </c>
      <c r="O495" t="s">
        <v>133</v>
      </c>
      <c r="P495">
        <v>2862</v>
      </c>
    </row>
    <row r="496" spans="1:16" x14ac:dyDescent="0.35">
      <c r="A496">
        <v>973</v>
      </c>
      <c r="B496">
        <v>2006</v>
      </c>
      <c r="C496" t="str">
        <f>IF(book_sales[[#This Row],[Publishing Year]]&lt;1900,"Classic (Before 1900)",IF(book_sales[[#This Row],[Publishing Year]]&lt;2000,"20th Century (1900-1999)","21st Century (2000+)"))</f>
        <v>21st Century (2000+)</v>
      </c>
      <c r="D496" t="s">
        <v>1655</v>
      </c>
      <c r="E496" t="s">
        <v>1260</v>
      </c>
      <c r="F496" t="s">
        <v>17</v>
      </c>
      <c r="G496" t="s">
        <v>532</v>
      </c>
      <c r="H496">
        <v>4.32</v>
      </c>
      <c r="I496">
        <v>60959</v>
      </c>
      <c r="J496" t="s">
        <v>19</v>
      </c>
      <c r="K496">
        <v>325.91000000000003</v>
      </c>
      <c r="L496">
        <v>195.54599999999999</v>
      </c>
      <c r="M496">
        <v>2.99</v>
      </c>
      <c r="N496">
        <v>1149</v>
      </c>
      <c r="O496" t="s">
        <v>27</v>
      </c>
      <c r="P496">
        <v>4240</v>
      </c>
    </row>
    <row r="497" spans="1:16" x14ac:dyDescent="0.35">
      <c r="A497">
        <v>42</v>
      </c>
      <c r="B497">
        <v>1998</v>
      </c>
      <c r="C497" t="str">
        <f>IF(book_sales[[#This Row],[Publishing Year]]&lt;1900,"Classic (Before 1900)",IF(book_sales[[#This Row],[Publishing Year]]&lt;2000,"20th Century (1900-1999)","21st Century (2000+)"))</f>
        <v>20th Century (1900-1999)</v>
      </c>
      <c r="D497" t="s">
        <v>108</v>
      </c>
      <c r="E497" t="s">
        <v>109</v>
      </c>
      <c r="F497" t="s">
        <v>17</v>
      </c>
      <c r="G497" t="s">
        <v>24</v>
      </c>
      <c r="H497">
        <v>3.52</v>
      </c>
      <c r="I497">
        <v>113915</v>
      </c>
      <c r="J497" t="s">
        <v>19</v>
      </c>
      <c r="K497">
        <v>3703.39</v>
      </c>
      <c r="L497">
        <v>2222.0340000000001</v>
      </c>
      <c r="M497">
        <v>1.99</v>
      </c>
      <c r="N497">
        <v>44</v>
      </c>
      <c r="O497" t="s">
        <v>27</v>
      </c>
      <c r="P497">
        <v>1861</v>
      </c>
    </row>
    <row r="498" spans="1:16" x14ac:dyDescent="0.35">
      <c r="A498">
        <v>1044</v>
      </c>
      <c r="B498">
        <v>2008</v>
      </c>
      <c r="C498" t="str">
        <f>IF(book_sales[[#This Row],[Publishing Year]]&lt;1900,"Classic (Before 1900)",IF(book_sales[[#This Row],[Publishing Year]]&lt;2000,"20th Century (1900-1999)","21st Century (2000+)"))</f>
        <v>21st Century (2000+)</v>
      </c>
      <c r="D498" t="s">
        <v>1765</v>
      </c>
      <c r="E498" t="s">
        <v>1766</v>
      </c>
      <c r="F498" t="s">
        <v>23</v>
      </c>
      <c r="G498" t="s">
        <v>24</v>
      </c>
      <c r="H498">
        <v>3.84</v>
      </c>
      <c r="I498">
        <v>57632</v>
      </c>
      <c r="J498" t="s">
        <v>30</v>
      </c>
      <c r="K498">
        <v>1149.18</v>
      </c>
      <c r="L498">
        <v>689.50800000000004</v>
      </c>
      <c r="M498">
        <v>10.74</v>
      </c>
      <c r="N498">
        <v>1235</v>
      </c>
      <c r="O498" t="s">
        <v>34</v>
      </c>
      <c r="P498">
        <v>107</v>
      </c>
    </row>
    <row r="499" spans="1:16" x14ac:dyDescent="0.35">
      <c r="A499">
        <v>65</v>
      </c>
      <c r="B499">
        <v>1995</v>
      </c>
      <c r="C499" t="str">
        <f>IF(book_sales[[#This Row],[Publishing Year]]&lt;1900,"Classic (Before 1900)",IF(book_sales[[#This Row],[Publishing Year]]&lt;2000,"20th Century (1900-1999)","21st Century (2000+)"))</f>
        <v>20th Century (1900-1999)</v>
      </c>
      <c r="D499" t="s">
        <v>157</v>
      </c>
      <c r="E499" t="s">
        <v>158</v>
      </c>
      <c r="F499" t="s">
        <v>23</v>
      </c>
      <c r="G499" t="s">
        <v>24</v>
      </c>
      <c r="H499">
        <v>3.91</v>
      </c>
      <c r="I499">
        <v>137412</v>
      </c>
      <c r="J499" t="s">
        <v>19</v>
      </c>
      <c r="K499">
        <v>12040.93</v>
      </c>
      <c r="L499">
        <v>0</v>
      </c>
      <c r="M499">
        <v>7.99</v>
      </c>
      <c r="N499">
        <v>67</v>
      </c>
      <c r="O499" t="s">
        <v>27</v>
      </c>
      <c r="P499">
        <v>1507</v>
      </c>
    </row>
    <row r="500" spans="1:16" x14ac:dyDescent="0.35">
      <c r="A500">
        <v>302</v>
      </c>
      <c r="B500">
        <v>1994</v>
      </c>
      <c r="C500" t="str">
        <f>IF(book_sales[[#This Row],[Publishing Year]]&lt;1900,"Classic (Before 1900)",IF(book_sales[[#This Row],[Publishing Year]]&lt;2000,"20th Century (1900-1999)","21st Century (2000+)"))</f>
        <v>20th Century (1900-1999)</v>
      </c>
      <c r="D500" t="s">
        <v>574</v>
      </c>
      <c r="E500" t="s">
        <v>158</v>
      </c>
      <c r="F500" t="s">
        <v>23</v>
      </c>
      <c r="G500" t="s">
        <v>24</v>
      </c>
      <c r="H500">
        <v>3.76</v>
      </c>
      <c r="I500">
        <v>102715</v>
      </c>
      <c r="J500" t="s">
        <v>19</v>
      </c>
      <c r="K500">
        <v>292.05</v>
      </c>
      <c r="L500">
        <v>0</v>
      </c>
      <c r="M500">
        <v>0.99</v>
      </c>
      <c r="N500">
        <v>323</v>
      </c>
      <c r="O500" t="s">
        <v>27</v>
      </c>
      <c r="P500">
        <v>295</v>
      </c>
    </row>
    <row r="501" spans="1:16" x14ac:dyDescent="0.35">
      <c r="A501">
        <v>432</v>
      </c>
      <c r="B501">
        <v>1997</v>
      </c>
      <c r="C501" t="str">
        <f>IF(book_sales[[#This Row],[Publishing Year]]&lt;1900,"Classic (Before 1900)",IF(book_sales[[#This Row],[Publishing Year]]&lt;2000,"20th Century (1900-1999)","21st Century (2000+)"))</f>
        <v>20th Century (1900-1999)</v>
      </c>
      <c r="D501" t="s">
        <v>804</v>
      </c>
      <c r="E501" t="s">
        <v>158</v>
      </c>
      <c r="G501" t="s">
        <v>24</v>
      </c>
      <c r="H501">
        <v>3.89</v>
      </c>
      <c r="I501">
        <v>86870</v>
      </c>
      <c r="J501" t="s">
        <v>19</v>
      </c>
      <c r="K501">
        <v>746.13</v>
      </c>
      <c r="L501">
        <v>0</v>
      </c>
      <c r="M501">
        <v>3.99</v>
      </c>
      <c r="N501">
        <v>476</v>
      </c>
      <c r="O501" t="s">
        <v>27</v>
      </c>
      <c r="P501">
        <v>5049</v>
      </c>
    </row>
    <row r="502" spans="1:16" x14ac:dyDescent="0.35">
      <c r="A502">
        <v>506</v>
      </c>
      <c r="B502">
        <v>1998</v>
      </c>
      <c r="C502" t="str">
        <f>IF(book_sales[[#This Row],[Publishing Year]]&lt;1900,"Classic (Before 1900)",IF(book_sales[[#This Row],[Publishing Year]]&lt;2000,"20th Century (1900-1999)","21st Century (2000+)"))</f>
        <v>20th Century (1900-1999)</v>
      </c>
      <c r="D502" t="s">
        <v>923</v>
      </c>
      <c r="E502" t="s">
        <v>158</v>
      </c>
      <c r="F502" t="s">
        <v>23</v>
      </c>
      <c r="G502" t="s">
        <v>24</v>
      </c>
      <c r="H502">
        <v>3.81</v>
      </c>
      <c r="I502">
        <v>80577</v>
      </c>
      <c r="J502" t="s">
        <v>19</v>
      </c>
      <c r="K502">
        <v>320.39</v>
      </c>
      <c r="L502">
        <v>192.23400000000001</v>
      </c>
      <c r="M502">
        <v>1.99</v>
      </c>
      <c r="N502">
        <v>561</v>
      </c>
      <c r="O502" t="s">
        <v>46</v>
      </c>
      <c r="P502">
        <v>4347</v>
      </c>
    </row>
    <row r="503" spans="1:16" x14ac:dyDescent="0.35">
      <c r="A503">
        <v>526</v>
      </c>
      <c r="B503">
        <v>1999</v>
      </c>
      <c r="C503" t="str">
        <f>IF(book_sales[[#This Row],[Publishing Year]]&lt;1900,"Classic (Before 1900)",IF(book_sales[[#This Row],[Publishing Year]]&lt;2000,"20th Century (1900-1999)","21st Century (2000+)"))</f>
        <v>20th Century (1900-1999)</v>
      </c>
      <c r="D503" t="s">
        <v>957</v>
      </c>
      <c r="E503" t="s">
        <v>158</v>
      </c>
      <c r="G503" t="s">
        <v>24</v>
      </c>
      <c r="H503">
        <v>3.83</v>
      </c>
      <c r="I503">
        <v>80377</v>
      </c>
      <c r="J503" t="s">
        <v>41</v>
      </c>
      <c r="K503">
        <v>778.44</v>
      </c>
      <c r="L503">
        <v>467.06400000000002</v>
      </c>
      <c r="M503">
        <v>4.99</v>
      </c>
      <c r="N503">
        <v>585</v>
      </c>
      <c r="O503" t="s">
        <v>46</v>
      </c>
      <c r="P503">
        <v>4212</v>
      </c>
    </row>
    <row r="504" spans="1:16" x14ac:dyDescent="0.35">
      <c r="A504">
        <v>561</v>
      </c>
      <c r="B504">
        <v>2013</v>
      </c>
      <c r="C504" t="str">
        <f>IF(book_sales[[#This Row],[Publishing Year]]&lt;1900,"Classic (Before 1900)",IF(book_sales[[#This Row],[Publishing Year]]&lt;2000,"20th Century (1900-1999)","21st Century (2000+)"))</f>
        <v>21st Century (2000+)</v>
      </c>
      <c r="D504" t="s">
        <v>1018</v>
      </c>
      <c r="E504" t="s">
        <v>158</v>
      </c>
      <c r="F504" t="s">
        <v>23</v>
      </c>
      <c r="G504" t="s">
        <v>24</v>
      </c>
      <c r="H504">
        <v>3.98</v>
      </c>
      <c r="I504">
        <v>56315</v>
      </c>
      <c r="J504" t="s">
        <v>19</v>
      </c>
      <c r="K504">
        <v>1074.57</v>
      </c>
      <c r="L504">
        <v>644.74199999999996</v>
      </c>
      <c r="M504">
        <v>7.31</v>
      </c>
      <c r="N504">
        <v>627</v>
      </c>
      <c r="O504" t="s">
        <v>34</v>
      </c>
      <c r="P504">
        <v>3969</v>
      </c>
    </row>
    <row r="505" spans="1:16" x14ac:dyDescent="0.35">
      <c r="A505">
        <v>714</v>
      </c>
      <c r="B505">
        <v>2000</v>
      </c>
      <c r="C505" t="str">
        <f>IF(book_sales[[#This Row],[Publishing Year]]&lt;1900,"Classic (Before 1900)",IF(book_sales[[#This Row],[Publishing Year]]&lt;2000,"20th Century (1900-1999)","21st Century (2000+)"))</f>
        <v>21st Century (2000+)</v>
      </c>
      <c r="D505" t="s">
        <v>1263</v>
      </c>
      <c r="E505" t="s">
        <v>158</v>
      </c>
      <c r="G505" t="s">
        <v>24</v>
      </c>
      <c r="H505">
        <v>3.71</v>
      </c>
      <c r="I505">
        <v>69351</v>
      </c>
      <c r="J505" t="s">
        <v>30</v>
      </c>
      <c r="K505">
        <v>942.82</v>
      </c>
      <c r="L505">
        <v>565.69200000000001</v>
      </c>
      <c r="M505">
        <v>7.99</v>
      </c>
      <c r="N505">
        <v>820</v>
      </c>
      <c r="O505" t="s">
        <v>34</v>
      </c>
      <c r="P505">
        <v>34992</v>
      </c>
    </row>
    <row r="506" spans="1:16" x14ac:dyDescent="0.35">
      <c r="A506">
        <v>770</v>
      </c>
      <c r="B506">
        <v>2005</v>
      </c>
      <c r="C506" t="str">
        <f>IF(book_sales[[#This Row],[Publishing Year]]&lt;1900,"Classic (Before 1900)",IF(book_sales[[#This Row],[Publishing Year]]&lt;2000,"20th Century (1900-1999)","21st Century (2000+)"))</f>
        <v>21st Century (2000+)</v>
      </c>
      <c r="D506" t="s">
        <v>1351</v>
      </c>
      <c r="E506" t="s">
        <v>158</v>
      </c>
      <c r="F506" t="s">
        <v>23</v>
      </c>
      <c r="G506" t="s">
        <v>24</v>
      </c>
      <c r="H506">
        <v>3.77</v>
      </c>
      <c r="I506">
        <v>65428</v>
      </c>
      <c r="J506" t="s">
        <v>19</v>
      </c>
      <c r="K506">
        <v>114.84</v>
      </c>
      <c r="L506">
        <v>68.903999999999996</v>
      </c>
      <c r="M506">
        <v>0.99</v>
      </c>
      <c r="N506">
        <v>892</v>
      </c>
      <c r="O506" t="s">
        <v>27</v>
      </c>
      <c r="P506">
        <v>29592</v>
      </c>
    </row>
    <row r="507" spans="1:16" x14ac:dyDescent="0.35">
      <c r="A507">
        <v>857</v>
      </c>
      <c r="B507">
        <v>2004</v>
      </c>
      <c r="C507" t="str">
        <f>IF(book_sales[[#This Row],[Publishing Year]]&lt;1900,"Classic (Before 1900)",IF(book_sales[[#This Row],[Publishing Year]]&lt;2000,"20th Century (1900-1999)","21st Century (2000+)"))</f>
        <v>21st Century (2000+)</v>
      </c>
      <c r="D507" t="s">
        <v>1481</v>
      </c>
      <c r="E507" t="s">
        <v>158</v>
      </c>
      <c r="F507" t="s">
        <v>23</v>
      </c>
      <c r="G507" t="s">
        <v>24</v>
      </c>
      <c r="H507">
        <v>3.85</v>
      </c>
      <c r="I507">
        <v>63114</v>
      </c>
      <c r="J507" t="s">
        <v>41</v>
      </c>
      <c r="K507">
        <v>970.67</v>
      </c>
      <c r="L507">
        <v>582.40200000000004</v>
      </c>
      <c r="M507">
        <v>8.59</v>
      </c>
      <c r="N507">
        <v>1005</v>
      </c>
      <c r="O507" t="s">
        <v>34</v>
      </c>
      <c r="P507">
        <v>2862</v>
      </c>
    </row>
    <row r="508" spans="1:16" x14ac:dyDescent="0.35">
      <c r="A508">
        <v>876</v>
      </c>
      <c r="B508">
        <v>2003</v>
      </c>
      <c r="C508" t="str">
        <f>IF(book_sales[[#This Row],[Publishing Year]]&lt;1900,"Classic (Before 1900)",IF(book_sales[[#This Row],[Publishing Year]]&lt;2000,"20th Century (1900-1999)","21st Century (2000+)"))</f>
        <v>21st Century (2000+)</v>
      </c>
      <c r="D508" t="s">
        <v>1508</v>
      </c>
      <c r="E508" t="s">
        <v>158</v>
      </c>
      <c r="F508" t="s">
        <v>23</v>
      </c>
      <c r="G508" t="s">
        <v>24</v>
      </c>
      <c r="H508">
        <v>3.67</v>
      </c>
      <c r="I508">
        <v>61835</v>
      </c>
      <c r="J508" t="s">
        <v>41</v>
      </c>
      <c r="K508">
        <v>670.88</v>
      </c>
      <c r="L508">
        <v>402.52800000000002</v>
      </c>
      <c r="M508">
        <v>5.99</v>
      </c>
      <c r="N508">
        <v>1027</v>
      </c>
      <c r="O508" t="s">
        <v>20</v>
      </c>
      <c r="P508">
        <v>4480</v>
      </c>
    </row>
    <row r="509" spans="1:16" x14ac:dyDescent="0.35">
      <c r="A509">
        <v>1012</v>
      </c>
      <c r="B509">
        <v>2012</v>
      </c>
      <c r="C509" t="str">
        <f>IF(book_sales[[#This Row],[Publishing Year]]&lt;1900,"Classic (Before 1900)",IF(book_sales[[#This Row],[Publishing Year]]&lt;2000,"20th Century (1900-1999)","21st Century (2000+)"))</f>
        <v>21st Century (2000+)</v>
      </c>
      <c r="D509" t="s">
        <v>1716</v>
      </c>
      <c r="E509" t="s">
        <v>158</v>
      </c>
      <c r="G509" t="s">
        <v>24</v>
      </c>
      <c r="H509">
        <v>3.79</v>
      </c>
      <c r="I509">
        <v>48286</v>
      </c>
      <c r="J509" t="s">
        <v>19</v>
      </c>
      <c r="K509">
        <v>322.92</v>
      </c>
      <c r="L509">
        <v>193.75200000000001</v>
      </c>
      <c r="M509">
        <v>2.99</v>
      </c>
      <c r="N509">
        <v>1198</v>
      </c>
      <c r="O509" t="s">
        <v>27</v>
      </c>
      <c r="P509">
        <v>108</v>
      </c>
    </row>
    <row r="510" spans="1:16" x14ac:dyDescent="0.35">
      <c r="A510">
        <v>1042</v>
      </c>
      <c r="B510">
        <v>2001</v>
      </c>
      <c r="C510" t="str">
        <f>IF(book_sales[[#This Row],[Publishing Year]]&lt;1900,"Classic (Before 1900)",IF(book_sales[[#This Row],[Publishing Year]]&lt;2000,"20th Century (1900-1999)","21st Century (2000+)"))</f>
        <v>21st Century (2000+)</v>
      </c>
      <c r="D510" t="s">
        <v>1762</v>
      </c>
      <c r="E510" t="s">
        <v>158</v>
      </c>
      <c r="F510" t="s">
        <v>23</v>
      </c>
      <c r="G510" t="s">
        <v>24</v>
      </c>
      <c r="H510">
        <v>3.67</v>
      </c>
      <c r="I510">
        <v>59974</v>
      </c>
      <c r="J510" t="s">
        <v>41</v>
      </c>
      <c r="K510">
        <v>105.93</v>
      </c>
      <c r="L510">
        <v>0</v>
      </c>
      <c r="M510">
        <v>0.99</v>
      </c>
      <c r="N510">
        <v>1232</v>
      </c>
      <c r="O510" t="s">
        <v>27</v>
      </c>
      <c r="P510">
        <v>107</v>
      </c>
    </row>
    <row r="511" spans="1:16" x14ac:dyDescent="0.35">
      <c r="A511">
        <v>1065</v>
      </c>
      <c r="B511">
        <v>2014</v>
      </c>
      <c r="C511" t="str">
        <f>IF(book_sales[[#This Row],[Publishing Year]]&lt;1900,"Classic (Before 1900)",IF(book_sales[[#This Row],[Publishing Year]]&lt;2000,"20th Century (1900-1999)","21st Century (2000+)"))</f>
        <v>21st Century (2000+)</v>
      </c>
      <c r="D511" t="s">
        <v>1799</v>
      </c>
      <c r="E511" t="s">
        <v>158</v>
      </c>
      <c r="F511" t="s">
        <v>23</v>
      </c>
      <c r="G511" t="s">
        <v>24</v>
      </c>
      <c r="H511">
        <v>3.52</v>
      </c>
      <c r="I511">
        <v>37379</v>
      </c>
      <c r="J511" t="s">
        <v>41</v>
      </c>
      <c r="K511">
        <v>104.94</v>
      </c>
      <c r="L511">
        <v>62.963999999999999</v>
      </c>
      <c r="M511">
        <v>0.99</v>
      </c>
      <c r="N511">
        <v>1268</v>
      </c>
      <c r="O511" t="s">
        <v>27</v>
      </c>
      <c r="P511">
        <v>106</v>
      </c>
    </row>
    <row r="512" spans="1:16" x14ac:dyDescent="0.35">
      <c r="A512">
        <v>173</v>
      </c>
      <c r="B512">
        <v>1985</v>
      </c>
      <c r="C512" t="str">
        <f>IF(book_sales[[#This Row],[Publishing Year]]&lt;1900,"Classic (Before 1900)",IF(book_sales[[#This Row],[Publishing Year]]&lt;2000,"20th Century (1900-1999)","21st Century (2000+)"))</f>
        <v>20th Century (1900-1999)</v>
      </c>
      <c r="D512" t="s">
        <v>345</v>
      </c>
      <c r="E512" t="s">
        <v>346</v>
      </c>
      <c r="F512" t="s">
        <v>23</v>
      </c>
      <c r="G512" t="s">
        <v>24</v>
      </c>
      <c r="H512">
        <v>4.0999999999999996</v>
      </c>
      <c r="I512">
        <v>124876</v>
      </c>
      <c r="J512" t="s">
        <v>19</v>
      </c>
      <c r="K512">
        <v>1134.3</v>
      </c>
      <c r="L512">
        <v>0</v>
      </c>
      <c r="M512">
        <v>1.99</v>
      </c>
      <c r="N512">
        <v>186</v>
      </c>
      <c r="O512" t="s">
        <v>27</v>
      </c>
      <c r="P512">
        <v>570</v>
      </c>
    </row>
    <row r="513" spans="1:16" x14ac:dyDescent="0.35">
      <c r="A513">
        <v>64</v>
      </c>
      <c r="B513">
        <v>1959</v>
      </c>
      <c r="C513" t="str">
        <f>IF(book_sales[[#This Row],[Publishing Year]]&lt;1900,"Classic (Before 1900)",IF(book_sales[[#This Row],[Publishing Year]]&lt;2000,"20th Century (1900-1999)","21st Century (2000+)"))</f>
        <v>20th Century (1900-1999)</v>
      </c>
      <c r="D513" t="s">
        <v>155</v>
      </c>
      <c r="E513" t="s">
        <v>156</v>
      </c>
      <c r="F513" t="s">
        <v>17</v>
      </c>
      <c r="G513" t="s">
        <v>24</v>
      </c>
      <c r="H513">
        <v>3.56</v>
      </c>
      <c r="I513">
        <v>155901</v>
      </c>
      <c r="J513" t="s">
        <v>19</v>
      </c>
      <c r="K513">
        <v>5924.47</v>
      </c>
      <c r="L513">
        <v>0</v>
      </c>
      <c r="M513">
        <v>3.89</v>
      </c>
      <c r="N513">
        <v>66</v>
      </c>
      <c r="O513" t="s">
        <v>27</v>
      </c>
      <c r="P513">
        <v>1523</v>
      </c>
    </row>
    <row r="514" spans="1:16" x14ac:dyDescent="0.35">
      <c r="A514">
        <v>453</v>
      </c>
      <c r="B514">
        <v>1667</v>
      </c>
      <c r="C514" t="str">
        <f>IF(book_sales[[#This Row],[Publishing Year]]&lt;1900,"Classic (Before 1900)",IF(book_sales[[#This Row],[Publishing Year]]&lt;2000,"20th Century (1900-1999)","21st Century (2000+)"))</f>
        <v>Classic (Before 1900)</v>
      </c>
      <c r="D514" t="s">
        <v>838</v>
      </c>
      <c r="E514" t="s">
        <v>839</v>
      </c>
      <c r="F514" t="s">
        <v>23</v>
      </c>
      <c r="G514" t="s">
        <v>24</v>
      </c>
      <c r="H514">
        <v>3.8</v>
      </c>
      <c r="I514">
        <v>96316</v>
      </c>
      <c r="J514" t="s">
        <v>19</v>
      </c>
      <c r="K514">
        <v>868.26</v>
      </c>
      <c r="L514">
        <v>0</v>
      </c>
      <c r="M514">
        <v>4.99</v>
      </c>
      <c r="N514">
        <v>502</v>
      </c>
      <c r="O514" t="s">
        <v>27</v>
      </c>
      <c r="P514">
        <v>4698</v>
      </c>
    </row>
    <row r="515" spans="1:16" x14ac:dyDescent="0.35">
      <c r="A515">
        <v>379</v>
      </c>
      <c r="B515">
        <v>2005</v>
      </c>
      <c r="C515" t="str">
        <f>IF(book_sales[[#This Row],[Publishing Year]]&lt;1900,"Classic (Before 1900)",IF(book_sales[[#This Row],[Publishing Year]]&lt;2000,"20th Century (1900-1999)","21st Century (2000+)"))</f>
        <v>21st Century (2000+)</v>
      </c>
      <c r="D515" t="s">
        <v>711</v>
      </c>
      <c r="E515" t="s">
        <v>712</v>
      </c>
      <c r="F515" t="s">
        <v>23</v>
      </c>
      <c r="G515" t="s">
        <v>532</v>
      </c>
      <c r="H515">
        <v>4.2300000000000004</v>
      </c>
      <c r="I515">
        <v>97653</v>
      </c>
      <c r="J515" t="s">
        <v>19</v>
      </c>
      <c r="K515">
        <v>1311.81</v>
      </c>
      <c r="L515">
        <v>787.08600000000001</v>
      </c>
      <c r="M515">
        <v>5.99</v>
      </c>
      <c r="N515">
        <v>412</v>
      </c>
      <c r="O515" t="s">
        <v>133</v>
      </c>
      <c r="P515">
        <v>5913</v>
      </c>
    </row>
    <row r="516" spans="1:16" x14ac:dyDescent="0.35">
      <c r="A516">
        <v>199</v>
      </c>
      <c r="B516">
        <v>1947</v>
      </c>
      <c r="C516" t="str">
        <f>IF(book_sales[[#This Row],[Publishing Year]]&lt;1900,"Classic (Before 1900)",IF(book_sales[[#This Row],[Publishing Year]]&lt;2000,"20th Century (1900-1999)","21st Century (2000+)"))</f>
        <v>20th Century (1900-1999)</v>
      </c>
      <c r="D516" t="s">
        <v>390</v>
      </c>
      <c r="E516" t="s">
        <v>391</v>
      </c>
      <c r="F516" t="s">
        <v>23</v>
      </c>
      <c r="G516" t="s">
        <v>18</v>
      </c>
      <c r="H516">
        <v>3.41</v>
      </c>
      <c r="I516">
        <v>133264</v>
      </c>
      <c r="J516" t="s">
        <v>19</v>
      </c>
      <c r="K516">
        <v>470.25</v>
      </c>
      <c r="L516">
        <v>282.14999999999998</v>
      </c>
      <c r="M516">
        <v>0.99</v>
      </c>
      <c r="N516">
        <v>215</v>
      </c>
      <c r="O516" t="s">
        <v>27</v>
      </c>
      <c r="P516">
        <v>475</v>
      </c>
    </row>
    <row r="517" spans="1:16" x14ac:dyDescent="0.35">
      <c r="A517">
        <v>630</v>
      </c>
      <c r="B517">
        <v>1945</v>
      </c>
      <c r="C517" t="str">
        <f>IF(book_sales[[#This Row],[Publishing Year]]&lt;1900,"Classic (Before 1900)",IF(book_sales[[#This Row],[Publishing Year]]&lt;2000,"20th Century (1900-1999)","21st Century (2000+)"))</f>
        <v>20th Century (1900-1999)</v>
      </c>
      <c r="D517" t="s">
        <v>1127</v>
      </c>
      <c r="E517" t="s">
        <v>391</v>
      </c>
      <c r="F517" t="s">
        <v>23</v>
      </c>
      <c r="G517" t="s">
        <v>532</v>
      </c>
      <c r="H517">
        <v>4.0199999999999996</v>
      </c>
      <c r="I517">
        <v>81598</v>
      </c>
      <c r="J517" t="s">
        <v>19</v>
      </c>
      <c r="K517">
        <v>1153.28</v>
      </c>
      <c r="L517">
        <v>691.96799999999996</v>
      </c>
      <c r="M517">
        <v>9.01</v>
      </c>
      <c r="N517">
        <v>713</v>
      </c>
      <c r="O517" t="s">
        <v>20</v>
      </c>
      <c r="P517">
        <v>47088</v>
      </c>
    </row>
    <row r="518" spans="1:16" x14ac:dyDescent="0.35">
      <c r="A518">
        <v>35</v>
      </c>
      <c r="B518">
        <v>2015</v>
      </c>
      <c r="C518" t="str">
        <f>IF(book_sales[[#This Row],[Publishing Year]]&lt;1900,"Classic (Before 1900)",IF(book_sales[[#This Row],[Publishing Year]]&lt;2000,"20th Century (1900-1999)","21st Century (2000+)"))</f>
        <v>21st Century (2000+)</v>
      </c>
      <c r="D518" t="s">
        <v>95</v>
      </c>
      <c r="E518" t="s">
        <v>96</v>
      </c>
      <c r="F518" t="s">
        <v>23</v>
      </c>
      <c r="G518" t="s">
        <v>24</v>
      </c>
      <c r="H518">
        <v>3.7</v>
      </c>
      <c r="I518">
        <v>99342</v>
      </c>
      <c r="J518" t="s">
        <v>19</v>
      </c>
      <c r="K518">
        <v>1964.16</v>
      </c>
      <c r="L518">
        <v>0</v>
      </c>
      <c r="M518">
        <v>0.99</v>
      </c>
      <c r="N518">
        <v>36</v>
      </c>
      <c r="O518" t="s">
        <v>27</v>
      </c>
      <c r="P518">
        <v>1984</v>
      </c>
    </row>
    <row r="519" spans="1:16" x14ac:dyDescent="0.35">
      <c r="A519">
        <v>409</v>
      </c>
      <c r="B519">
        <v>2014</v>
      </c>
      <c r="C519" t="str">
        <f>IF(book_sales[[#This Row],[Publishing Year]]&lt;1900,"Classic (Before 1900)",IF(book_sales[[#This Row],[Publishing Year]]&lt;2000,"20th Century (1900-1999)","21st Century (2000+)"))</f>
        <v>21st Century (2000+)</v>
      </c>
      <c r="D519" t="s">
        <v>769</v>
      </c>
      <c r="E519" t="s">
        <v>96</v>
      </c>
      <c r="F519" t="s">
        <v>23</v>
      </c>
      <c r="G519" t="s">
        <v>24</v>
      </c>
      <c r="H519">
        <v>3.94</v>
      </c>
      <c r="I519">
        <v>87412</v>
      </c>
      <c r="J519" t="s">
        <v>19</v>
      </c>
      <c r="K519">
        <v>399.99</v>
      </c>
      <c r="L519">
        <v>239.994</v>
      </c>
      <c r="M519">
        <v>1.99</v>
      </c>
      <c r="N519">
        <v>448</v>
      </c>
      <c r="O519" t="s">
        <v>31</v>
      </c>
      <c r="P519">
        <v>5427</v>
      </c>
    </row>
    <row r="520" spans="1:16" x14ac:dyDescent="0.35">
      <c r="A520">
        <v>486</v>
      </c>
      <c r="B520">
        <v>2012</v>
      </c>
      <c r="C520" t="str">
        <f>IF(book_sales[[#This Row],[Publishing Year]]&lt;1900,"Classic (Before 1900)",IF(book_sales[[#This Row],[Publishing Year]]&lt;2000,"20th Century (1900-1999)","21st Century (2000+)"))</f>
        <v>21st Century (2000+)</v>
      </c>
      <c r="D520" t="s">
        <v>894</v>
      </c>
      <c r="E520" t="s">
        <v>96</v>
      </c>
      <c r="F520" t="s">
        <v>23</v>
      </c>
      <c r="G520" t="s">
        <v>24</v>
      </c>
      <c r="H520">
        <v>3.95</v>
      </c>
      <c r="I520">
        <v>80991</v>
      </c>
      <c r="J520" t="s">
        <v>19</v>
      </c>
      <c r="K520">
        <v>1152.04</v>
      </c>
      <c r="L520">
        <v>691.22400000000005</v>
      </c>
      <c r="M520">
        <v>6.94</v>
      </c>
      <c r="N520">
        <v>537</v>
      </c>
      <c r="O520" t="s">
        <v>46</v>
      </c>
      <c r="P520">
        <v>4482</v>
      </c>
    </row>
    <row r="521" spans="1:16" x14ac:dyDescent="0.35">
      <c r="A521">
        <v>157</v>
      </c>
      <c r="B521">
        <v>2003</v>
      </c>
      <c r="C521" t="str">
        <f>IF(book_sales[[#This Row],[Publishing Year]]&lt;1900,"Classic (Before 1900)",IF(book_sales[[#This Row],[Publishing Year]]&lt;2000,"20th Century (1900-1999)","21st Century (2000+)"))</f>
        <v>21st Century (2000+)</v>
      </c>
      <c r="D521" t="s">
        <v>318</v>
      </c>
      <c r="E521" t="s">
        <v>319</v>
      </c>
      <c r="F521" t="s">
        <v>23</v>
      </c>
      <c r="G521" t="s">
        <v>24</v>
      </c>
      <c r="H521">
        <v>3.98</v>
      </c>
      <c r="I521">
        <v>112167</v>
      </c>
      <c r="J521" t="s">
        <v>19</v>
      </c>
      <c r="K521">
        <v>648.45000000000005</v>
      </c>
      <c r="L521">
        <v>0</v>
      </c>
      <c r="M521">
        <v>0.99</v>
      </c>
      <c r="N521">
        <v>169</v>
      </c>
      <c r="O521" t="s">
        <v>27</v>
      </c>
      <c r="P521">
        <v>655</v>
      </c>
    </row>
    <row r="522" spans="1:16" x14ac:dyDescent="0.35">
      <c r="A522">
        <v>617</v>
      </c>
      <c r="B522">
        <v>2011</v>
      </c>
      <c r="C522" t="str">
        <f>IF(book_sales[[#This Row],[Publishing Year]]&lt;1900,"Classic (Before 1900)",IF(book_sales[[#This Row],[Publishing Year]]&lt;2000,"20th Century (1900-1999)","21st Century (2000+)"))</f>
        <v>21st Century (2000+)</v>
      </c>
      <c r="D522" t="s">
        <v>1106</v>
      </c>
      <c r="E522" t="s">
        <v>1107</v>
      </c>
      <c r="F522" t="s">
        <v>23</v>
      </c>
      <c r="G522" t="s">
        <v>24</v>
      </c>
      <c r="H522">
        <v>3.91</v>
      </c>
      <c r="I522">
        <v>44097</v>
      </c>
      <c r="J522" t="s">
        <v>19</v>
      </c>
      <c r="K522">
        <v>492.7</v>
      </c>
      <c r="L522">
        <v>295.62</v>
      </c>
      <c r="M522">
        <v>3.79</v>
      </c>
      <c r="N522">
        <v>701</v>
      </c>
      <c r="O522" t="s">
        <v>133</v>
      </c>
      <c r="P522">
        <v>49032</v>
      </c>
    </row>
    <row r="523" spans="1:16" x14ac:dyDescent="0.35">
      <c r="A523">
        <v>96</v>
      </c>
      <c r="B523">
        <v>1989</v>
      </c>
      <c r="C523" t="str">
        <f>IF(book_sales[[#This Row],[Publishing Year]]&lt;1900,"Classic (Before 1900)",IF(book_sales[[#This Row],[Publishing Year]]&lt;2000,"20th Century (1900-1999)","21st Century (2000+)"))</f>
        <v>20th Century (1900-1999)</v>
      </c>
      <c r="D523" t="s">
        <v>212</v>
      </c>
      <c r="E523" t="s">
        <v>213</v>
      </c>
      <c r="F523" t="s">
        <v>92</v>
      </c>
      <c r="G523" t="s">
        <v>24</v>
      </c>
      <c r="H523">
        <v>4.29</v>
      </c>
      <c r="I523">
        <v>141945</v>
      </c>
      <c r="J523" t="s">
        <v>19</v>
      </c>
      <c r="K523">
        <v>1019.7</v>
      </c>
      <c r="L523">
        <v>0</v>
      </c>
      <c r="M523">
        <v>0.99</v>
      </c>
      <c r="N523">
        <v>98</v>
      </c>
      <c r="O523" t="s">
        <v>27</v>
      </c>
      <c r="P523">
        <v>1030</v>
      </c>
    </row>
    <row r="524" spans="1:16" x14ac:dyDescent="0.35">
      <c r="A524">
        <v>871</v>
      </c>
      <c r="B524">
        <v>1992</v>
      </c>
      <c r="C524" t="str">
        <f>IF(book_sales[[#This Row],[Publishing Year]]&lt;1900,"Classic (Before 1900)",IF(book_sales[[#This Row],[Publishing Year]]&lt;2000,"20th Century (1900-1999)","21st Century (2000+)"))</f>
        <v>20th Century (1900-1999)</v>
      </c>
      <c r="D524" t="s">
        <v>1501</v>
      </c>
      <c r="E524" t="s">
        <v>213</v>
      </c>
      <c r="F524" t="s">
        <v>23</v>
      </c>
      <c r="G524" t="s">
        <v>532</v>
      </c>
      <c r="H524">
        <v>4.2</v>
      </c>
      <c r="I524">
        <v>78487</v>
      </c>
      <c r="J524" t="s">
        <v>41</v>
      </c>
      <c r="K524">
        <v>334.88</v>
      </c>
      <c r="L524">
        <v>200.928</v>
      </c>
      <c r="M524">
        <v>2.99</v>
      </c>
      <c r="N524">
        <v>1020</v>
      </c>
      <c r="O524" t="s">
        <v>27</v>
      </c>
      <c r="P524">
        <v>4480</v>
      </c>
    </row>
    <row r="525" spans="1:16" x14ac:dyDescent="0.35">
      <c r="A525">
        <v>565</v>
      </c>
      <c r="B525">
        <v>2004</v>
      </c>
      <c r="C525" t="str">
        <f>IF(book_sales[[#This Row],[Publishing Year]]&lt;1900,"Classic (Before 1900)",IF(book_sales[[#This Row],[Publishing Year]]&lt;2000,"20th Century (1900-1999)","21st Century (2000+)"))</f>
        <v>21st Century (2000+)</v>
      </c>
      <c r="D525" t="s">
        <v>1024</v>
      </c>
      <c r="E525" t="s">
        <v>1025</v>
      </c>
      <c r="F525" t="s">
        <v>23</v>
      </c>
      <c r="G525" t="s">
        <v>532</v>
      </c>
      <c r="H525">
        <v>4.0199999999999996</v>
      </c>
      <c r="I525">
        <v>74511</v>
      </c>
      <c r="J525" t="s">
        <v>41</v>
      </c>
      <c r="K525">
        <v>1166.54</v>
      </c>
      <c r="L525">
        <v>699.92399999999998</v>
      </c>
      <c r="M525">
        <v>7.99</v>
      </c>
      <c r="N525">
        <v>630</v>
      </c>
      <c r="O525" t="s">
        <v>46</v>
      </c>
      <c r="P525">
        <v>3942</v>
      </c>
    </row>
    <row r="526" spans="1:16" x14ac:dyDescent="0.35">
      <c r="A526">
        <v>467</v>
      </c>
      <c r="B526">
        <v>1971</v>
      </c>
      <c r="C526" t="str">
        <f>IF(book_sales[[#This Row],[Publishing Year]]&lt;1900,"Classic (Before 1900)",IF(book_sales[[#This Row],[Publishing Year]]&lt;2000,"20th Century (1900-1999)","21st Century (2000+)"))</f>
        <v>20th Century (1900-1999)</v>
      </c>
      <c r="D526" t="s">
        <v>862</v>
      </c>
      <c r="E526" t="s">
        <v>863</v>
      </c>
      <c r="F526" t="s">
        <v>23</v>
      </c>
      <c r="G526" t="s">
        <v>53</v>
      </c>
      <c r="H526">
        <v>4.45</v>
      </c>
      <c r="I526">
        <v>102184</v>
      </c>
      <c r="J526" t="s">
        <v>19</v>
      </c>
      <c r="K526">
        <v>340.29</v>
      </c>
      <c r="L526">
        <v>0</v>
      </c>
      <c r="M526">
        <v>1.99</v>
      </c>
      <c r="N526">
        <v>518</v>
      </c>
      <c r="O526" t="s">
        <v>27</v>
      </c>
      <c r="P526">
        <v>4617</v>
      </c>
    </row>
    <row r="527" spans="1:16" x14ac:dyDescent="0.35">
      <c r="A527">
        <v>171</v>
      </c>
      <c r="B527">
        <v>2009</v>
      </c>
      <c r="C527" t="str">
        <f>IF(book_sales[[#This Row],[Publishing Year]]&lt;1900,"Classic (Before 1900)",IF(book_sales[[#This Row],[Publishing Year]]&lt;2000,"20th Century (1900-1999)","21st Century (2000+)"))</f>
        <v>21st Century (2000+)</v>
      </c>
      <c r="D527" t="s">
        <v>342</v>
      </c>
      <c r="E527" t="s">
        <v>343</v>
      </c>
      <c r="F527" t="s">
        <v>92</v>
      </c>
      <c r="G527" t="s">
        <v>24</v>
      </c>
      <c r="H527">
        <v>3.81</v>
      </c>
      <c r="I527">
        <v>92275</v>
      </c>
      <c r="J527" t="s">
        <v>19</v>
      </c>
      <c r="K527">
        <v>5200.6499999999996</v>
      </c>
      <c r="L527">
        <v>3120.39</v>
      </c>
      <c r="M527">
        <v>8.89</v>
      </c>
      <c r="N527">
        <v>183</v>
      </c>
      <c r="O527" t="s">
        <v>133</v>
      </c>
      <c r="P527">
        <v>585</v>
      </c>
    </row>
    <row r="528" spans="1:16" x14ac:dyDescent="0.35">
      <c r="A528">
        <v>123</v>
      </c>
      <c r="B528">
        <v>2010</v>
      </c>
      <c r="C528" t="str">
        <f>IF(book_sales[[#This Row],[Publishing Year]]&lt;1900,"Classic (Before 1900)",IF(book_sales[[#This Row],[Publishing Year]]&lt;2000,"20th Century (1900-1999)","21st Century (2000+)"))</f>
        <v>21st Century (2000+)</v>
      </c>
      <c r="D528" t="s">
        <v>260</v>
      </c>
      <c r="E528" t="s">
        <v>261</v>
      </c>
      <c r="F528" t="s">
        <v>17</v>
      </c>
      <c r="G528" t="s">
        <v>24</v>
      </c>
      <c r="H528">
        <v>3.73</v>
      </c>
      <c r="I528">
        <v>119213</v>
      </c>
      <c r="J528" t="s">
        <v>19</v>
      </c>
      <c r="K528">
        <v>6871.4</v>
      </c>
      <c r="L528">
        <v>4122.84</v>
      </c>
      <c r="M528">
        <v>7.99</v>
      </c>
      <c r="N528">
        <v>128</v>
      </c>
      <c r="O528" t="s">
        <v>46</v>
      </c>
      <c r="P528">
        <v>860</v>
      </c>
    </row>
    <row r="529" spans="1:16" x14ac:dyDescent="0.35">
      <c r="A529">
        <v>127</v>
      </c>
      <c r="B529">
        <v>2001</v>
      </c>
      <c r="C529" t="str">
        <f>IF(book_sales[[#This Row],[Publishing Year]]&lt;1900,"Classic (Before 1900)",IF(book_sales[[#This Row],[Publishing Year]]&lt;2000,"20th Century (1900-1999)","21st Century (2000+)"))</f>
        <v>21st Century (2000+)</v>
      </c>
      <c r="D529" t="s">
        <v>268</v>
      </c>
      <c r="E529" t="s">
        <v>261</v>
      </c>
      <c r="F529" t="s">
        <v>23</v>
      </c>
      <c r="G529" t="s">
        <v>24</v>
      </c>
      <c r="H529">
        <v>3.78</v>
      </c>
      <c r="I529">
        <v>117657</v>
      </c>
      <c r="J529" t="s">
        <v>19</v>
      </c>
      <c r="K529">
        <v>816.75</v>
      </c>
      <c r="L529">
        <v>0</v>
      </c>
      <c r="M529">
        <v>0.99</v>
      </c>
      <c r="N529">
        <v>135</v>
      </c>
      <c r="O529" t="s">
        <v>27</v>
      </c>
      <c r="P529">
        <v>825</v>
      </c>
    </row>
    <row r="530" spans="1:16" x14ac:dyDescent="0.35">
      <c r="A530">
        <v>56</v>
      </c>
      <c r="B530">
        <v>2002</v>
      </c>
      <c r="C530" t="str">
        <f>IF(book_sales[[#This Row],[Publishing Year]]&lt;1900,"Classic (Before 1900)",IF(book_sales[[#This Row],[Publishing Year]]&lt;2000,"20th Century (1900-1999)","21st Century (2000+)"))</f>
        <v>21st Century (2000+)</v>
      </c>
      <c r="D530" t="s">
        <v>138</v>
      </c>
      <c r="E530" t="s">
        <v>139</v>
      </c>
      <c r="F530" t="s">
        <v>23</v>
      </c>
      <c r="G530" t="s">
        <v>24</v>
      </c>
      <c r="H530">
        <v>3.9</v>
      </c>
      <c r="I530">
        <v>131492</v>
      </c>
      <c r="J530" t="s">
        <v>19</v>
      </c>
      <c r="K530">
        <v>1629.54</v>
      </c>
      <c r="L530">
        <v>977.72400000000005</v>
      </c>
      <c r="M530">
        <v>0.99</v>
      </c>
      <c r="N530">
        <v>58</v>
      </c>
      <c r="O530" t="s">
        <v>27</v>
      </c>
      <c r="P530">
        <v>1646</v>
      </c>
    </row>
    <row r="531" spans="1:16" x14ac:dyDescent="0.35">
      <c r="A531">
        <v>624</v>
      </c>
      <c r="B531">
        <v>2003</v>
      </c>
      <c r="C531" t="str">
        <f>IF(book_sales[[#This Row],[Publishing Year]]&lt;1900,"Classic (Before 1900)",IF(book_sales[[#This Row],[Publishing Year]]&lt;2000,"20th Century (1900-1999)","21st Century (2000+)"))</f>
        <v>21st Century (2000+)</v>
      </c>
      <c r="D531" t="s">
        <v>1115</v>
      </c>
      <c r="E531" t="s">
        <v>1116</v>
      </c>
      <c r="F531" t="s">
        <v>17</v>
      </c>
      <c r="G531" t="s">
        <v>24</v>
      </c>
      <c r="H531">
        <v>3.99</v>
      </c>
      <c r="I531">
        <v>86062</v>
      </c>
      <c r="J531" t="s">
        <v>19</v>
      </c>
      <c r="K531">
        <v>127.71</v>
      </c>
      <c r="L531">
        <v>0</v>
      </c>
      <c r="M531">
        <v>0.99</v>
      </c>
      <c r="N531">
        <v>709</v>
      </c>
      <c r="O531" t="s">
        <v>27</v>
      </c>
      <c r="P531">
        <v>47736</v>
      </c>
    </row>
    <row r="532" spans="1:16" x14ac:dyDescent="0.35">
      <c r="A532">
        <v>767</v>
      </c>
      <c r="B532">
        <v>2004</v>
      </c>
      <c r="C532" t="str">
        <f>IF(book_sales[[#This Row],[Publishing Year]]&lt;1900,"Classic (Before 1900)",IF(book_sales[[#This Row],[Publishing Year]]&lt;2000,"20th Century (1900-1999)","21st Century (2000+)"))</f>
        <v>21st Century (2000+)</v>
      </c>
      <c r="D532" t="s">
        <v>1346</v>
      </c>
      <c r="E532" t="s">
        <v>1116</v>
      </c>
      <c r="F532" t="s">
        <v>17</v>
      </c>
      <c r="G532" t="s">
        <v>532</v>
      </c>
      <c r="H532">
        <v>4.09</v>
      </c>
      <c r="I532">
        <v>69058</v>
      </c>
      <c r="J532" t="s">
        <v>41</v>
      </c>
      <c r="K532">
        <v>810.84</v>
      </c>
      <c r="L532">
        <v>486.50400000000002</v>
      </c>
      <c r="M532">
        <v>6.99</v>
      </c>
      <c r="N532">
        <v>886</v>
      </c>
      <c r="O532" t="s">
        <v>66</v>
      </c>
      <c r="P532">
        <v>29808</v>
      </c>
    </row>
    <row r="533" spans="1:16" x14ac:dyDescent="0.35">
      <c r="A533">
        <v>1023</v>
      </c>
      <c r="B533">
        <v>2006</v>
      </c>
      <c r="C533" t="str">
        <f>IF(book_sales[[#This Row],[Publishing Year]]&lt;1900,"Classic (Before 1900)",IF(book_sales[[#This Row],[Publishing Year]]&lt;2000,"20th Century (1900-1999)","21st Century (2000+)"))</f>
        <v>21st Century (2000+)</v>
      </c>
      <c r="D533" t="s">
        <v>1733</v>
      </c>
      <c r="E533" t="s">
        <v>1116</v>
      </c>
      <c r="F533" t="s">
        <v>23</v>
      </c>
      <c r="G533" t="s">
        <v>532</v>
      </c>
      <c r="H533">
        <v>4.24</v>
      </c>
      <c r="I533">
        <v>63838</v>
      </c>
      <c r="J533" t="s">
        <v>19</v>
      </c>
      <c r="K533">
        <v>1272.23</v>
      </c>
      <c r="L533">
        <v>763.33799999999997</v>
      </c>
      <c r="M533">
        <v>11.89</v>
      </c>
      <c r="N533">
        <v>1207</v>
      </c>
      <c r="O533" t="s">
        <v>20</v>
      </c>
      <c r="P533">
        <v>107</v>
      </c>
    </row>
    <row r="534" spans="1:16" x14ac:dyDescent="0.35">
      <c r="A534">
        <v>270</v>
      </c>
      <c r="B534">
        <v>2009</v>
      </c>
      <c r="C534" t="str">
        <f>IF(book_sales[[#This Row],[Publishing Year]]&lt;1900,"Classic (Before 1900)",IF(book_sales[[#This Row],[Publishing Year]]&lt;2000,"20th Century (1900-1999)","21st Century (2000+)"))</f>
        <v>21st Century (2000+)</v>
      </c>
      <c r="D534" t="s">
        <v>514</v>
      </c>
      <c r="E534" t="s">
        <v>515</v>
      </c>
      <c r="F534" t="s">
        <v>23</v>
      </c>
      <c r="G534" t="s">
        <v>24</v>
      </c>
      <c r="H534">
        <v>3.88</v>
      </c>
      <c r="I534">
        <v>98645</v>
      </c>
      <c r="J534" t="s">
        <v>19</v>
      </c>
      <c r="K534">
        <v>346.5</v>
      </c>
      <c r="L534">
        <v>0</v>
      </c>
      <c r="M534">
        <v>0.99</v>
      </c>
      <c r="N534">
        <v>290</v>
      </c>
      <c r="O534" t="s">
        <v>27</v>
      </c>
      <c r="P534">
        <v>350</v>
      </c>
    </row>
    <row r="535" spans="1:16" x14ac:dyDescent="0.35">
      <c r="A535">
        <v>122</v>
      </c>
      <c r="B535">
        <v>1995</v>
      </c>
      <c r="C535" t="str">
        <f>IF(book_sales[[#This Row],[Publishing Year]]&lt;1900,"Classic (Before 1900)",IF(book_sales[[#This Row],[Publishing Year]]&lt;2000,"20th Century (1900-1999)","21st Century (2000+)"))</f>
        <v>20th Century (1900-1999)</v>
      </c>
      <c r="D535" t="s">
        <v>258</v>
      </c>
      <c r="E535" t="s">
        <v>259</v>
      </c>
      <c r="F535" t="s">
        <v>17</v>
      </c>
      <c r="G535" t="s">
        <v>24</v>
      </c>
      <c r="H535">
        <v>4.08</v>
      </c>
      <c r="I535">
        <v>98738</v>
      </c>
      <c r="J535" t="s">
        <v>19</v>
      </c>
      <c r="K535">
        <v>3451.35</v>
      </c>
      <c r="L535">
        <v>0</v>
      </c>
      <c r="M535">
        <v>3.99</v>
      </c>
      <c r="N535">
        <v>127</v>
      </c>
      <c r="O535" t="s">
        <v>27</v>
      </c>
      <c r="P535">
        <v>865</v>
      </c>
    </row>
    <row r="536" spans="1:16" x14ac:dyDescent="0.35">
      <c r="A536">
        <v>104</v>
      </c>
      <c r="B536">
        <v>1991</v>
      </c>
      <c r="C536" t="str">
        <f>IF(book_sales[[#This Row],[Publishing Year]]&lt;1900,"Classic (Before 1900)",IF(book_sales[[#This Row],[Publishing Year]]&lt;2000,"20th Century (1900-1999)","21st Century (2000+)"))</f>
        <v>20th Century (1900-1999)</v>
      </c>
      <c r="D536" t="s">
        <v>227</v>
      </c>
      <c r="E536" t="s">
        <v>228</v>
      </c>
      <c r="F536" t="s">
        <v>23</v>
      </c>
      <c r="G536" t="s">
        <v>24</v>
      </c>
      <c r="H536">
        <v>3.88</v>
      </c>
      <c r="I536">
        <v>109692</v>
      </c>
      <c r="J536" t="s">
        <v>19</v>
      </c>
      <c r="K536">
        <v>10224</v>
      </c>
      <c r="L536">
        <v>6134.4</v>
      </c>
      <c r="M536">
        <v>10.65</v>
      </c>
      <c r="N536">
        <v>108</v>
      </c>
      <c r="O536" t="s">
        <v>34</v>
      </c>
      <c r="P536">
        <v>960</v>
      </c>
    </row>
    <row r="537" spans="1:16" x14ac:dyDescent="0.35">
      <c r="A537">
        <v>614</v>
      </c>
      <c r="B537">
        <v>1996</v>
      </c>
      <c r="C537" t="str">
        <f>IF(book_sales[[#This Row],[Publishing Year]]&lt;1900,"Classic (Before 1900)",IF(book_sales[[#This Row],[Publishing Year]]&lt;2000,"20th Century (1900-1999)","21st Century (2000+)"))</f>
        <v>20th Century (1900-1999)</v>
      </c>
      <c r="D537" t="s">
        <v>1100</v>
      </c>
      <c r="E537" t="s">
        <v>1101</v>
      </c>
      <c r="F537" t="s">
        <v>23</v>
      </c>
      <c r="G537" t="s">
        <v>24</v>
      </c>
      <c r="H537">
        <v>3.7</v>
      </c>
      <c r="I537">
        <v>77251</v>
      </c>
      <c r="J537" t="s">
        <v>19</v>
      </c>
      <c r="K537">
        <v>1395.15</v>
      </c>
      <c r="L537">
        <v>837.09</v>
      </c>
      <c r="M537">
        <v>10.65</v>
      </c>
      <c r="N537">
        <v>698</v>
      </c>
      <c r="O537" t="s">
        <v>31</v>
      </c>
      <c r="P537">
        <v>49680</v>
      </c>
    </row>
    <row r="538" spans="1:16" x14ac:dyDescent="0.35">
      <c r="A538">
        <v>374</v>
      </c>
      <c r="B538">
        <v>1978</v>
      </c>
      <c r="C538" t="str">
        <f>IF(book_sales[[#This Row],[Publishing Year]]&lt;1900,"Classic (Before 1900)",IF(book_sales[[#This Row],[Publishing Year]]&lt;2000,"20th Century (1900-1999)","21st Century (2000+)"))</f>
        <v>20th Century (1900-1999)</v>
      </c>
      <c r="D538" t="s">
        <v>703</v>
      </c>
      <c r="E538" t="s">
        <v>704</v>
      </c>
      <c r="F538" t="s">
        <v>23</v>
      </c>
      <c r="G538" t="s">
        <v>532</v>
      </c>
      <c r="H538">
        <v>4.1500000000000004</v>
      </c>
      <c r="I538">
        <v>104677</v>
      </c>
      <c r="J538" t="s">
        <v>19</v>
      </c>
      <c r="K538">
        <v>1662.78</v>
      </c>
      <c r="L538">
        <v>997.66800000000001</v>
      </c>
      <c r="M538">
        <v>7.49</v>
      </c>
      <c r="N538">
        <v>406</v>
      </c>
      <c r="O538" t="s">
        <v>34</v>
      </c>
      <c r="P538">
        <v>5994</v>
      </c>
    </row>
    <row r="539" spans="1:16" x14ac:dyDescent="0.35">
      <c r="A539">
        <v>130</v>
      </c>
      <c r="B539">
        <v>1972</v>
      </c>
      <c r="C539" t="str">
        <f>IF(book_sales[[#This Row],[Publishing Year]]&lt;1900,"Classic (Before 1900)",IF(book_sales[[#This Row],[Publishing Year]]&lt;2000,"20th Century (1900-1999)","21st Century (2000+)"))</f>
        <v>20th Century (1900-1999)</v>
      </c>
      <c r="D539" t="s">
        <v>272</v>
      </c>
      <c r="E539" t="s">
        <v>273</v>
      </c>
      <c r="F539" t="s">
        <v>144</v>
      </c>
      <c r="G539" t="s">
        <v>24</v>
      </c>
      <c r="H539">
        <v>4.22</v>
      </c>
      <c r="I539">
        <v>146073</v>
      </c>
      <c r="J539" t="s">
        <v>19</v>
      </c>
      <c r="K539">
        <v>2421.9</v>
      </c>
      <c r="L539">
        <v>0</v>
      </c>
      <c r="M539">
        <v>2.99</v>
      </c>
      <c r="N539">
        <v>138</v>
      </c>
      <c r="O539" t="s">
        <v>27</v>
      </c>
      <c r="P539">
        <v>810</v>
      </c>
    </row>
    <row r="540" spans="1:16" x14ac:dyDescent="0.35">
      <c r="A540">
        <v>90</v>
      </c>
      <c r="B540">
        <v>1970</v>
      </c>
      <c r="C540" t="str">
        <f>IF(book_sales[[#This Row],[Publishing Year]]&lt;1900,"Classic (Before 1900)",IF(book_sales[[#This Row],[Publishing Year]]&lt;2000,"20th Century (1900-1999)","21st Century (2000+)"))</f>
        <v>20th Century (1900-1999)</v>
      </c>
      <c r="D540" t="s">
        <v>203</v>
      </c>
      <c r="E540" t="s">
        <v>204</v>
      </c>
      <c r="F540" t="s">
        <v>23</v>
      </c>
      <c r="G540" t="s">
        <v>24</v>
      </c>
      <c r="H540">
        <v>3.89</v>
      </c>
      <c r="I540">
        <v>151789</v>
      </c>
      <c r="J540" t="s">
        <v>19</v>
      </c>
      <c r="K540">
        <v>1111.77</v>
      </c>
      <c r="L540">
        <v>0</v>
      </c>
      <c r="M540">
        <v>0.99</v>
      </c>
      <c r="N540">
        <v>92</v>
      </c>
      <c r="O540" t="s">
        <v>27</v>
      </c>
      <c r="P540">
        <v>1123</v>
      </c>
    </row>
    <row r="541" spans="1:16" x14ac:dyDescent="0.35">
      <c r="A541">
        <v>468</v>
      </c>
      <c r="B541">
        <v>1972</v>
      </c>
      <c r="C541" t="str">
        <f>IF(book_sales[[#This Row],[Publishing Year]]&lt;1900,"Classic (Before 1900)",IF(book_sales[[#This Row],[Publishing Year]]&lt;2000,"20th Century (1900-1999)","21st Century (2000+)"))</f>
        <v>20th Century (1900-1999)</v>
      </c>
      <c r="D541" t="s">
        <v>864</v>
      </c>
      <c r="E541" t="s">
        <v>204</v>
      </c>
      <c r="F541" t="s">
        <v>23</v>
      </c>
      <c r="G541" t="s">
        <v>532</v>
      </c>
      <c r="H541">
        <v>4.09</v>
      </c>
      <c r="I541">
        <v>106435</v>
      </c>
      <c r="J541" t="s">
        <v>19</v>
      </c>
      <c r="K541">
        <v>508.3</v>
      </c>
      <c r="L541">
        <v>304.98</v>
      </c>
      <c r="M541">
        <v>2.99</v>
      </c>
      <c r="N541">
        <v>519</v>
      </c>
      <c r="O541" t="s">
        <v>34</v>
      </c>
      <c r="P541">
        <v>4590</v>
      </c>
    </row>
    <row r="542" spans="1:16" x14ac:dyDescent="0.35">
      <c r="A542">
        <v>690</v>
      </c>
      <c r="B542">
        <v>1998</v>
      </c>
      <c r="C542" t="str">
        <f>IF(book_sales[[#This Row],[Publishing Year]]&lt;1900,"Classic (Before 1900)",IF(book_sales[[#This Row],[Publishing Year]]&lt;2000,"20th Century (1900-1999)","21st Century (2000+)"))</f>
        <v>20th Century (1900-1999)</v>
      </c>
      <c r="D542" t="s">
        <v>1228</v>
      </c>
      <c r="E542" t="s">
        <v>204</v>
      </c>
      <c r="G542" t="s">
        <v>24</v>
      </c>
      <c r="H542">
        <v>3.83</v>
      </c>
      <c r="I542">
        <v>73515</v>
      </c>
      <c r="J542" t="s">
        <v>19</v>
      </c>
      <c r="K542">
        <v>862.58</v>
      </c>
      <c r="L542">
        <v>517.548</v>
      </c>
      <c r="M542">
        <v>7.31</v>
      </c>
      <c r="N542">
        <v>794</v>
      </c>
      <c r="O542" t="s">
        <v>34</v>
      </c>
      <c r="P542">
        <v>36504</v>
      </c>
    </row>
    <row r="543" spans="1:16" x14ac:dyDescent="0.35">
      <c r="A543">
        <v>441</v>
      </c>
      <c r="B543">
        <v>1864</v>
      </c>
      <c r="C543" t="str">
        <f>IF(book_sales[[#This Row],[Publishing Year]]&lt;1900,"Classic (Before 1900)",IF(book_sales[[#This Row],[Publishing Year]]&lt;2000,"20th Century (1900-1999)","21st Century (2000+)"))</f>
        <v>Classic (Before 1900)</v>
      </c>
      <c r="D543" t="s">
        <v>817</v>
      </c>
      <c r="E543" t="s">
        <v>818</v>
      </c>
      <c r="F543" t="s">
        <v>23</v>
      </c>
      <c r="G543" t="s">
        <v>24</v>
      </c>
      <c r="H543">
        <v>3.84</v>
      </c>
      <c r="I543">
        <v>89410</v>
      </c>
      <c r="J543" t="s">
        <v>41</v>
      </c>
      <c r="K543">
        <v>1726.2</v>
      </c>
      <c r="L543">
        <v>1035.72</v>
      </c>
      <c r="M543">
        <v>9.59</v>
      </c>
      <c r="N543">
        <v>489</v>
      </c>
      <c r="O543" t="s">
        <v>133</v>
      </c>
      <c r="P543">
        <v>4860</v>
      </c>
    </row>
    <row r="544" spans="1:16" x14ac:dyDescent="0.35">
      <c r="A544">
        <v>168</v>
      </c>
      <c r="B544">
        <v>1869</v>
      </c>
      <c r="C544" t="str">
        <f>IF(book_sales[[#This Row],[Publishing Year]]&lt;1900,"Classic (Before 1900)",IF(book_sales[[#This Row],[Publishing Year]]&lt;2000,"20th Century (1900-1999)","21st Century (2000+)"))</f>
        <v>Classic (Before 1900)</v>
      </c>
      <c r="D544" t="s">
        <v>336</v>
      </c>
      <c r="E544" t="s">
        <v>337</v>
      </c>
      <c r="F544" t="s">
        <v>23</v>
      </c>
      <c r="G544" t="s">
        <v>24</v>
      </c>
      <c r="H544">
        <v>3.86</v>
      </c>
      <c r="I544">
        <v>121112</v>
      </c>
      <c r="J544" t="s">
        <v>19</v>
      </c>
      <c r="K544">
        <v>3540.25</v>
      </c>
      <c r="L544">
        <v>0</v>
      </c>
      <c r="M544">
        <v>5.95</v>
      </c>
      <c r="N544">
        <v>181</v>
      </c>
      <c r="O544" t="s">
        <v>27</v>
      </c>
      <c r="P544">
        <v>595</v>
      </c>
    </row>
    <row r="545" spans="1:16" x14ac:dyDescent="0.35">
      <c r="A545">
        <v>175</v>
      </c>
      <c r="B545">
        <v>1872</v>
      </c>
      <c r="C545" t="str">
        <f>IF(book_sales[[#This Row],[Publishing Year]]&lt;1900,"Classic (Before 1900)",IF(book_sales[[#This Row],[Publishing Year]]&lt;2000,"20th Century (1900-1999)","21st Century (2000+)"))</f>
        <v>Classic (Before 1900)</v>
      </c>
      <c r="D545" t="s">
        <v>349</v>
      </c>
      <c r="E545" t="s">
        <v>350</v>
      </c>
      <c r="F545" t="s">
        <v>23</v>
      </c>
      <c r="G545" t="s">
        <v>24</v>
      </c>
      <c r="H545">
        <v>3.9</v>
      </c>
      <c r="I545">
        <v>117108</v>
      </c>
      <c r="J545" t="s">
        <v>19</v>
      </c>
      <c r="K545">
        <v>4434.45</v>
      </c>
      <c r="L545">
        <v>2660.67</v>
      </c>
      <c r="M545">
        <v>7.99</v>
      </c>
      <c r="N545">
        <v>189</v>
      </c>
      <c r="O545" t="s">
        <v>34</v>
      </c>
      <c r="P545">
        <v>555</v>
      </c>
    </row>
    <row r="546" spans="1:16" x14ac:dyDescent="0.35">
      <c r="A546">
        <v>870</v>
      </c>
      <c r="B546">
        <v>1992</v>
      </c>
      <c r="C546" t="str">
        <f>IF(book_sales[[#This Row],[Publishing Year]]&lt;1900,"Classic (Before 1900)",IF(book_sales[[#This Row],[Publishing Year]]&lt;2000,"20th Century (1900-1999)","21st Century (2000+)"))</f>
        <v>20th Century (1900-1999)</v>
      </c>
      <c r="D546" t="s">
        <v>1499</v>
      </c>
      <c r="E546" t="s">
        <v>1500</v>
      </c>
      <c r="F546" t="s">
        <v>23</v>
      </c>
      <c r="G546" t="s">
        <v>24</v>
      </c>
      <c r="H546">
        <v>3.89</v>
      </c>
      <c r="I546">
        <v>66049</v>
      </c>
      <c r="J546" t="s">
        <v>19</v>
      </c>
      <c r="K546">
        <v>670.88</v>
      </c>
      <c r="L546">
        <v>0</v>
      </c>
      <c r="M546">
        <v>5.99</v>
      </c>
      <c r="N546">
        <v>1020</v>
      </c>
      <c r="O546" t="s">
        <v>27</v>
      </c>
      <c r="P546">
        <v>4480</v>
      </c>
    </row>
    <row r="547" spans="1:16" x14ac:dyDescent="0.35">
      <c r="A547">
        <v>910</v>
      </c>
      <c r="B547">
        <v>2006</v>
      </c>
      <c r="C547" t="str">
        <f>IF(book_sales[[#This Row],[Publishing Year]]&lt;1900,"Classic (Before 1900)",IF(book_sales[[#This Row],[Publishing Year]]&lt;2000,"20th Century (1900-1999)","21st Century (2000+)"))</f>
        <v>21st Century (2000+)</v>
      </c>
      <c r="D547" t="s">
        <v>1556</v>
      </c>
      <c r="E547" t="s">
        <v>1557</v>
      </c>
      <c r="F547" t="s">
        <v>23</v>
      </c>
      <c r="G547" t="s">
        <v>532</v>
      </c>
      <c r="H547">
        <v>4.16</v>
      </c>
      <c r="I547">
        <v>63100</v>
      </c>
      <c r="J547" t="s">
        <v>19</v>
      </c>
      <c r="K547">
        <v>1330.89</v>
      </c>
      <c r="L547">
        <v>798.53399999999999</v>
      </c>
      <c r="M547">
        <v>11.99</v>
      </c>
      <c r="N547">
        <v>1066</v>
      </c>
      <c r="O547" t="s">
        <v>34</v>
      </c>
      <c r="P547">
        <v>4400</v>
      </c>
    </row>
    <row r="548" spans="1:16" x14ac:dyDescent="0.35">
      <c r="A548">
        <v>291</v>
      </c>
      <c r="B548">
        <v>2011</v>
      </c>
      <c r="C548" t="str">
        <f>IF(book_sales[[#This Row],[Publishing Year]]&lt;1900,"Classic (Before 1900)",IF(book_sales[[#This Row],[Publishing Year]]&lt;2000,"20th Century (1900-1999)","21st Century (2000+)"))</f>
        <v>21st Century (2000+)</v>
      </c>
      <c r="D548" t="s">
        <v>553</v>
      </c>
      <c r="E548" t="s">
        <v>554</v>
      </c>
      <c r="F548" t="s">
        <v>23</v>
      </c>
      <c r="G548" t="s">
        <v>24</v>
      </c>
      <c r="H548">
        <v>3.7</v>
      </c>
      <c r="I548">
        <v>94968</v>
      </c>
      <c r="J548" t="s">
        <v>19</v>
      </c>
      <c r="K548">
        <v>306.89999999999998</v>
      </c>
      <c r="L548">
        <v>0</v>
      </c>
      <c r="M548">
        <v>0.99</v>
      </c>
      <c r="N548">
        <v>314</v>
      </c>
      <c r="O548" t="s">
        <v>27</v>
      </c>
      <c r="P548">
        <v>310</v>
      </c>
    </row>
    <row r="549" spans="1:16" x14ac:dyDescent="0.35">
      <c r="A549">
        <v>225</v>
      </c>
      <c r="B549">
        <v>2010</v>
      </c>
      <c r="C549" t="str">
        <f>IF(book_sales[[#This Row],[Publishing Year]]&lt;1900,"Classic (Before 1900)",IF(book_sales[[#This Row],[Publishing Year]]&lt;2000,"20th Century (1900-1999)","21st Century (2000+)"))</f>
        <v>21st Century (2000+)</v>
      </c>
      <c r="D549" t="s">
        <v>436</v>
      </c>
      <c r="E549" t="s">
        <v>437</v>
      </c>
      <c r="F549" t="s">
        <v>23</v>
      </c>
      <c r="G549" t="s">
        <v>24</v>
      </c>
      <c r="H549">
        <v>3.92</v>
      </c>
      <c r="I549">
        <v>158063</v>
      </c>
      <c r="J549" t="s">
        <v>19</v>
      </c>
      <c r="K549">
        <v>420.75</v>
      </c>
      <c r="L549">
        <v>252.45</v>
      </c>
      <c r="M549">
        <v>0.99</v>
      </c>
      <c r="N549">
        <v>245</v>
      </c>
      <c r="O549" t="s">
        <v>133</v>
      </c>
      <c r="P549">
        <v>425</v>
      </c>
    </row>
    <row r="550" spans="1:16" x14ac:dyDescent="0.35">
      <c r="A550">
        <v>906</v>
      </c>
      <c r="B550">
        <v>2010</v>
      </c>
      <c r="C550" t="str">
        <f>IF(book_sales[[#This Row],[Publishing Year]]&lt;1900,"Classic (Before 1900)",IF(book_sales[[#This Row],[Publishing Year]]&lt;2000,"20th Century (1900-1999)","21st Century (2000+)"))</f>
        <v>21st Century (2000+)</v>
      </c>
      <c r="D550" t="s">
        <v>1550</v>
      </c>
      <c r="E550" t="s">
        <v>437</v>
      </c>
      <c r="F550" t="s">
        <v>23</v>
      </c>
      <c r="G550" t="s">
        <v>532</v>
      </c>
      <c r="H550">
        <v>4.13</v>
      </c>
      <c r="I550">
        <v>93340</v>
      </c>
      <c r="J550" t="s">
        <v>19</v>
      </c>
      <c r="K550">
        <v>331.89</v>
      </c>
      <c r="L550">
        <v>0</v>
      </c>
      <c r="M550">
        <v>2.99</v>
      </c>
      <c r="N550">
        <v>1060</v>
      </c>
      <c r="O550" t="s">
        <v>27</v>
      </c>
      <c r="P550">
        <v>4400</v>
      </c>
    </row>
    <row r="551" spans="1:16" x14ac:dyDescent="0.35">
      <c r="A551">
        <v>1010</v>
      </c>
      <c r="B551">
        <v>2011</v>
      </c>
      <c r="C551" t="str">
        <f>IF(book_sales[[#This Row],[Publishing Year]]&lt;1900,"Classic (Before 1900)",IF(book_sales[[#This Row],[Publishing Year]]&lt;2000,"20th Century (1900-1999)","21st Century (2000+)"))</f>
        <v>21st Century (2000+)</v>
      </c>
      <c r="D551" t="s">
        <v>1713</v>
      </c>
      <c r="E551" t="s">
        <v>437</v>
      </c>
      <c r="F551" t="s">
        <v>23</v>
      </c>
      <c r="G551" t="s">
        <v>532</v>
      </c>
      <c r="H551">
        <v>4.24</v>
      </c>
      <c r="I551">
        <v>82373</v>
      </c>
      <c r="J551" t="s">
        <v>41</v>
      </c>
      <c r="K551">
        <v>430.92</v>
      </c>
      <c r="L551">
        <v>0</v>
      </c>
      <c r="M551">
        <v>3.99</v>
      </c>
      <c r="N551">
        <v>1196</v>
      </c>
      <c r="O551" t="s">
        <v>27</v>
      </c>
      <c r="P551">
        <v>108</v>
      </c>
    </row>
    <row r="552" spans="1:16" x14ac:dyDescent="0.35">
      <c r="A552">
        <v>179</v>
      </c>
      <c r="B552">
        <v>2005</v>
      </c>
      <c r="C552" t="str">
        <f>IF(book_sales[[#This Row],[Publishing Year]]&lt;1900,"Classic (Before 1900)",IF(book_sales[[#This Row],[Publishing Year]]&lt;2000,"20th Century (1900-1999)","21st Century (2000+)"))</f>
        <v>21st Century (2000+)</v>
      </c>
      <c r="D552" t="s">
        <v>356</v>
      </c>
      <c r="E552" t="s">
        <v>357</v>
      </c>
      <c r="F552" t="s">
        <v>23</v>
      </c>
      <c r="G552" t="s">
        <v>24</v>
      </c>
      <c r="H552">
        <v>3.67</v>
      </c>
      <c r="I552">
        <v>121373</v>
      </c>
      <c r="J552" t="s">
        <v>41</v>
      </c>
      <c r="K552">
        <v>1599.65</v>
      </c>
      <c r="L552">
        <v>959.79</v>
      </c>
      <c r="M552">
        <v>2.99</v>
      </c>
      <c r="N552">
        <v>193</v>
      </c>
      <c r="O552" t="s">
        <v>46</v>
      </c>
      <c r="P552">
        <v>535</v>
      </c>
    </row>
    <row r="553" spans="1:16" x14ac:dyDescent="0.35">
      <c r="A553">
        <v>956</v>
      </c>
      <c r="B553">
        <v>1991</v>
      </c>
      <c r="C553" t="str">
        <f>IF(book_sales[[#This Row],[Publishing Year]]&lt;1900,"Classic (Before 1900)",IF(book_sales[[#This Row],[Publishing Year]]&lt;2000,"20th Century (1900-1999)","21st Century (2000+)"))</f>
        <v>20th Century (1900-1999)</v>
      </c>
      <c r="D553" t="s">
        <v>1632</v>
      </c>
      <c r="E553" t="s">
        <v>1633</v>
      </c>
      <c r="F553" t="s">
        <v>17</v>
      </c>
      <c r="G553" t="s">
        <v>532</v>
      </c>
      <c r="H553">
        <v>4.2300000000000004</v>
      </c>
      <c r="I553">
        <v>60193</v>
      </c>
      <c r="J553" t="s">
        <v>41</v>
      </c>
      <c r="K553">
        <v>434.91</v>
      </c>
      <c r="L553">
        <v>260.94600000000003</v>
      </c>
      <c r="M553">
        <v>3.99</v>
      </c>
      <c r="N553">
        <v>1129</v>
      </c>
      <c r="O553" t="s">
        <v>578</v>
      </c>
      <c r="P553">
        <v>4280</v>
      </c>
    </row>
    <row r="554" spans="1:16" x14ac:dyDescent="0.35">
      <c r="A554">
        <v>750</v>
      </c>
      <c r="B554">
        <v>2012</v>
      </c>
      <c r="C554" t="str">
        <f>IF(book_sales[[#This Row],[Publishing Year]]&lt;1900,"Classic (Before 1900)",IF(book_sales[[#This Row],[Publishing Year]]&lt;2000,"20th Century (1900-1999)","21st Century (2000+)"))</f>
        <v>21st Century (2000+)</v>
      </c>
      <c r="D554" t="s">
        <v>1319</v>
      </c>
      <c r="E554" t="s">
        <v>1320</v>
      </c>
      <c r="F554" t="s">
        <v>23</v>
      </c>
      <c r="G554" t="s">
        <v>24</v>
      </c>
      <c r="H554">
        <v>3.75</v>
      </c>
      <c r="I554">
        <v>66720</v>
      </c>
      <c r="J554" t="s">
        <v>41</v>
      </c>
      <c r="K554">
        <v>624.08000000000004</v>
      </c>
      <c r="L554">
        <v>374.44799999999998</v>
      </c>
      <c r="M554">
        <v>5.38</v>
      </c>
      <c r="N554">
        <v>865</v>
      </c>
      <c r="O554" t="s">
        <v>27</v>
      </c>
      <c r="P554">
        <v>31536</v>
      </c>
    </row>
    <row r="555" spans="1:16" x14ac:dyDescent="0.35">
      <c r="A555">
        <v>134</v>
      </c>
      <c r="B555">
        <v>2010</v>
      </c>
      <c r="C555" t="str">
        <f>IF(book_sales[[#This Row],[Publishing Year]]&lt;1900,"Classic (Before 1900)",IF(book_sales[[#This Row],[Publishing Year]]&lt;2000,"20th Century (1900-1999)","21st Century (2000+)"))</f>
        <v>21st Century (2000+)</v>
      </c>
      <c r="D555" t="s">
        <v>280</v>
      </c>
      <c r="E555" t="s">
        <v>281</v>
      </c>
      <c r="F555" t="s">
        <v>23</v>
      </c>
      <c r="G555" t="s">
        <v>24</v>
      </c>
      <c r="H555">
        <v>4.04</v>
      </c>
      <c r="I555">
        <v>126993</v>
      </c>
      <c r="J555" t="s">
        <v>19</v>
      </c>
      <c r="K555">
        <v>3172.05</v>
      </c>
      <c r="L555">
        <v>0</v>
      </c>
      <c r="M555">
        <v>3.99</v>
      </c>
      <c r="N555">
        <v>141</v>
      </c>
      <c r="O555" t="s">
        <v>27</v>
      </c>
      <c r="P555">
        <v>795</v>
      </c>
    </row>
    <row r="556" spans="1:16" x14ac:dyDescent="0.35">
      <c r="A556">
        <v>986</v>
      </c>
      <c r="B556">
        <v>2012</v>
      </c>
      <c r="C556" t="str">
        <f>IF(book_sales[[#This Row],[Publishing Year]]&lt;1900,"Classic (Before 1900)",IF(book_sales[[#This Row],[Publishing Year]]&lt;2000,"20th Century (1900-1999)","21st Century (2000+)"))</f>
        <v>21st Century (2000+)</v>
      </c>
      <c r="D556" t="s">
        <v>1677</v>
      </c>
      <c r="E556" t="s">
        <v>281</v>
      </c>
      <c r="F556" t="s">
        <v>23</v>
      </c>
      <c r="G556" t="s">
        <v>24</v>
      </c>
      <c r="H556">
        <v>3.98</v>
      </c>
      <c r="I556">
        <v>56756</v>
      </c>
      <c r="J556" t="s">
        <v>19</v>
      </c>
      <c r="K556">
        <v>538.91999999999996</v>
      </c>
      <c r="L556">
        <v>0</v>
      </c>
      <c r="M556">
        <v>4.99</v>
      </c>
      <c r="N556">
        <v>1164</v>
      </c>
      <c r="O556" t="s">
        <v>27</v>
      </c>
      <c r="P556">
        <v>108</v>
      </c>
    </row>
    <row r="557" spans="1:16" x14ac:dyDescent="0.35">
      <c r="A557">
        <v>256</v>
      </c>
      <c r="B557">
        <v>2010</v>
      </c>
      <c r="C557" t="str">
        <f>IF(book_sales[[#This Row],[Publishing Year]]&lt;1900,"Classic (Before 1900)",IF(book_sales[[#This Row],[Publishing Year]]&lt;2000,"20th Century (1900-1999)","21st Century (2000+)"))</f>
        <v>21st Century (2000+)</v>
      </c>
      <c r="D557" t="s">
        <v>489</v>
      </c>
      <c r="E557" t="s">
        <v>490</v>
      </c>
      <c r="G557" t="s">
        <v>24</v>
      </c>
      <c r="H557">
        <v>3.98</v>
      </c>
      <c r="I557">
        <v>102560</v>
      </c>
      <c r="J557" t="s">
        <v>41</v>
      </c>
      <c r="K557">
        <v>2775</v>
      </c>
      <c r="L557">
        <v>1665</v>
      </c>
      <c r="M557">
        <v>7.5</v>
      </c>
      <c r="N557">
        <v>278</v>
      </c>
      <c r="O557" t="s">
        <v>31</v>
      </c>
      <c r="P557">
        <v>370</v>
      </c>
    </row>
    <row r="558" spans="1:16" x14ac:dyDescent="0.35">
      <c r="A558">
        <v>616</v>
      </c>
      <c r="B558">
        <v>2010</v>
      </c>
      <c r="C558" t="str">
        <f>IF(book_sales[[#This Row],[Publishing Year]]&lt;1900,"Classic (Before 1900)",IF(book_sales[[#This Row],[Publishing Year]]&lt;2000,"20th Century (1900-1999)","21st Century (2000+)"))</f>
        <v>21st Century (2000+)</v>
      </c>
      <c r="D558" t="s">
        <v>1104</v>
      </c>
      <c r="E558" t="s">
        <v>1105</v>
      </c>
      <c r="F558" t="s">
        <v>17</v>
      </c>
      <c r="G558" t="s">
        <v>24</v>
      </c>
      <c r="H558">
        <v>3.84</v>
      </c>
      <c r="I558">
        <v>95447</v>
      </c>
      <c r="J558" t="s">
        <v>41</v>
      </c>
      <c r="K558">
        <v>260.69</v>
      </c>
      <c r="L558">
        <v>156.41399999999999</v>
      </c>
      <c r="M558">
        <v>1.99</v>
      </c>
      <c r="N558">
        <v>700</v>
      </c>
      <c r="O558" t="s">
        <v>20</v>
      </c>
      <c r="P558">
        <v>49248</v>
      </c>
    </row>
    <row r="559" spans="1:16" x14ac:dyDescent="0.35">
      <c r="A559">
        <v>894</v>
      </c>
      <c r="B559">
        <v>2011</v>
      </c>
      <c r="C559" t="str">
        <f>IF(book_sales[[#This Row],[Publishing Year]]&lt;1900,"Classic (Before 1900)",IF(book_sales[[#This Row],[Publishing Year]]&lt;2000,"20th Century (1900-1999)","21st Century (2000+)"))</f>
        <v>21st Century (2000+)</v>
      </c>
      <c r="D559" t="s">
        <v>1533</v>
      </c>
      <c r="E559" t="s">
        <v>1534</v>
      </c>
      <c r="F559" t="s">
        <v>17</v>
      </c>
      <c r="G559" t="s">
        <v>24</v>
      </c>
      <c r="H559">
        <v>3.95</v>
      </c>
      <c r="I559">
        <v>69709</v>
      </c>
      <c r="J559" t="s">
        <v>19</v>
      </c>
      <c r="K559">
        <v>222.88</v>
      </c>
      <c r="L559">
        <v>133.72800000000001</v>
      </c>
      <c r="M559">
        <v>1.99</v>
      </c>
      <c r="N559">
        <v>1050</v>
      </c>
      <c r="O559" t="s">
        <v>31</v>
      </c>
      <c r="P559">
        <v>4400</v>
      </c>
    </row>
    <row r="560" spans="1:16" x14ac:dyDescent="0.35">
      <c r="A560">
        <v>681</v>
      </c>
      <c r="B560">
        <v>2013</v>
      </c>
      <c r="C560" t="str">
        <f>IF(book_sales[[#This Row],[Publishing Year]]&lt;1900,"Classic (Before 1900)",IF(book_sales[[#This Row],[Publishing Year]]&lt;2000,"20th Century (1900-1999)","21st Century (2000+)"))</f>
        <v>21st Century (2000+)</v>
      </c>
      <c r="D560" t="s">
        <v>1213</v>
      </c>
      <c r="E560" t="s">
        <v>1214</v>
      </c>
      <c r="F560" t="s">
        <v>23</v>
      </c>
      <c r="G560" t="s">
        <v>24</v>
      </c>
      <c r="H560">
        <v>3.71</v>
      </c>
      <c r="I560">
        <v>59973</v>
      </c>
      <c r="J560" t="s">
        <v>19</v>
      </c>
      <c r="K560">
        <v>355.81</v>
      </c>
      <c r="L560">
        <v>0</v>
      </c>
      <c r="M560">
        <v>2.99</v>
      </c>
      <c r="N560">
        <v>783</v>
      </c>
      <c r="O560" t="s">
        <v>27</v>
      </c>
      <c r="P560">
        <v>37152</v>
      </c>
    </row>
    <row r="561" spans="1:16" x14ac:dyDescent="0.35">
      <c r="A561">
        <v>539</v>
      </c>
      <c r="B561">
        <v>2006</v>
      </c>
      <c r="C561" t="str">
        <f>IF(book_sales[[#This Row],[Publishing Year]]&lt;1900,"Classic (Before 1900)",IF(book_sales[[#This Row],[Publishing Year]]&lt;2000,"20th Century (1900-1999)","21st Century (2000+)"))</f>
        <v>21st Century (2000+)</v>
      </c>
      <c r="D561" t="s">
        <v>976</v>
      </c>
      <c r="E561" t="s">
        <v>977</v>
      </c>
      <c r="F561" t="s">
        <v>23</v>
      </c>
      <c r="G561" t="s">
        <v>532</v>
      </c>
      <c r="H561">
        <v>4.1399999999999997</v>
      </c>
      <c r="I561">
        <v>110812</v>
      </c>
      <c r="J561" t="s">
        <v>19</v>
      </c>
      <c r="K561">
        <v>1618.8</v>
      </c>
      <c r="L561">
        <v>971.28</v>
      </c>
      <c r="M561">
        <v>10.65</v>
      </c>
      <c r="N561">
        <v>601</v>
      </c>
      <c r="O561" t="s">
        <v>34</v>
      </c>
      <c r="P561">
        <v>4104</v>
      </c>
    </row>
    <row r="562" spans="1:16" x14ac:dyDescent="0.35">
      <c r="A562">
        <v>908</v>
      </c>
      <c r="B562">
        <v>2012</v>
      </c>
      <c r="C562" t="str">
        <f>IF(book_sales[[#This Row],[Publishing Year]]&lt;1900,"Classic (Before 1900)",IF(book_sales[[#This Row],[Publishing Year]]&lt;2000,"20th Century (1900-1999)","21st Century (2000+)"))</f>
        <v>21st Century (2000+)</v>
      </c>
      <c r="D562" t="s">
        <v>1553</v>
      </c>
      <c r="E562" t="s">
        <v>1554</v>
      </c>
      <c r="F562" t="s">
        <v>23</v>
      </c>
      <c r="G562" t="s">
        <v>24</v>
      </c>
      <c r="H562">
        <v>3.64</v>
      </c>
      <c r="I562">
        <v>61296</v>
      </c>
      <c r="J562" t="s">
        <v>19</v>
      </c>
      <c r="K562">
        <v>1314.24</v>
      </c>
      <c r="L562">
        <v>788.54399999999998</v>
      </c>
      <c r="M562">
        <v>11.84</v>
      </c>
      <c r="N562">
        <v>1062</v>
      </c>
      <c r="O562" t="s">
        <v>46</v>
      </c>
      <c r="P562">
        <v>4400</v>
      </c>
    </row>
    <row r="563" spans="1:16" x14ac:dyDescent="0.35">
      <c r="A563">
        <v>814</v>
      </c>
      <c r="B563">
        <v>2015</v>
      </c>
      <c r="C563" t="str">
        <f>IF(book_sales[[#This Row],[Publishing Year]]&lt;1900,"Classic (Before 1900)",IF(book_sales[[#This Row],[Publishing Year]]&lt;2000,"20th Century (1900-1999)","21st Century (2000+)"))</f>
        <v>21st Century (2000+)</v>
      </c>
      <c r="D563" t="s">
        <v>1422</v>
      </c>
      <c r="E563" t="s">
        <v>1423</v>
      </c>
      <c r="F563" t="s">
        <v>23</v>
      </c>
      <c r="G563" t="s">
        <v>24</v>
      </c>
      <c r="H563">
        <v>3.95</v>
      </c>
      <c r="I563">
        <v>60737</v>
      </c>
      <c r="J563" t="s">
        <v>19</v>
      </c>
      <c r="K563">
        <v>226.86</v>
      </c>
      <c r="L563">
        <v>0</v>
      </c>
      <c r="M563">
        <v>1.99</v>
      </c>
      <c r="N563">
        <v>952</v>
      </c>
      <c r="O563" t="s">
        <v>27</v>
      </c>
      <c r="P563">
        <v>2916</v>
      </c>
    </row>
    <row r="564" spans="1:16" x14ac:dyDescent="0.35">
      <c r="A564">
        <v>901</v>
      </c>
      <c r="B564">
        <v>1848</v>
      </c>
      <c r="C564" t="str">
        <f>IF(book_sales[[#This Row],[Publishing Year]]&lt;1900,"Classic (Before 1900)",IF(book_sales[[#This Row],[Publishing Year]]&lt;2000,"20th Century (1900-1999)","21st Century (2000+)"))</f>
        <v>Classic (Before 1900)</v>
      </c>
      <c r="D564" t="s">
        <v>1541</v>
      </c>
      <c r="E564" t="s">
        <v>1542</v>
      </c>
      <c r="F564" t="s">
        <v>23</v>
      </c>
      <c r="G564" t="s">
        <v>24</v>
      </c>
      <c r="H564">
        <v>3.51</v>
      </c>
      <c r="I564">
        <v>56464</v>
      </c>
      <c r="J564" t="s">
        <v>19</v>
      </c>
      <c r="K564">
        <v>331.89</v>
      </c>
      <c r="L564">
        <v>0</v>
      </c>
      <c r="M564">
        <v>2.99</v>
      </c>
      <c r="N564">
        <v>1057</v>
      </c>
      <c r="O564" t="s">
        <v>27</v>
      </c>
      <c r="P564">
        <v>4400</v>
      </c>
    </row>
    <row r="565" spans="1:16" x14ac:dyDescent="0.35">
      <c r="A565">
        <v>20</v>
      </c>
      <c r="B565">
        <v>2013</v>
      </c>
      <c r="C565" t="str">
        <f>IF(book_sales[[#This Row],[Publishing Year]]&lt;1900,"Classic (Before 1900)",IF(book_sales[[#This Row],[Publishing Year]]&lt;2000,"20th Century (1900-1999)","21st Century (2000+)"))</f>
        <v>21st Century (2000+)</v>
      </c>
      <c r="D565" t="s">
        <v>69</v>
      </c>
      <c r="E565" t="s">
        <v>70</v>
      </c>
      <c r="F565" t="s">
        <v>23</v>
      </c>
      <c r="G565" t="s">
        <v>24</v>
      </c>
      <c r="H565">
        <v>3.74</v>
      </c>
      <c r="I565">
        <v>138454</v>
      </c>
      <c r="J565" t="s">
        <v>19</v>
      </c>
      <c r="K565">
        <v>11702.67</v>
      </c>
      <c r="L565">
        <v>0</v>
      </c>
      <c r="M565">
        <v>3.99</v>
      </c>
      <c r="N565">
        <v>21</v>
      </c>
      <c r="O565" t="s">
        <v>27</v>
      </c>
      <c r="P565">
        <v>2933</v>
      </c>
    </row>
    <row r="566" spans="1:16" x14ac:dyDescent="0.35">
      <c r="A566">
        <v>251</v>
      </c>
      <c r="B566">
        <v>1899</v>
      </c>
      <c r="C566" t="str">
        <f>IF(book_sales[[#This Row],[Publishing Year]]&lt;1900,"Classic (Before 1900)",IF(book_sales[[#This Row],[Publishing Year]]&lt;2000,"20th Century (1900-1999)","21st Century (2000+)"))</f>
        <v>Classic (Before 1900)</v>
      </c>
      <c r="D566" t="s">
        <v>481</v>
      </c>
      <c r="E566" t="s">
        <v>482</v>
      </c>
      <c r="F566" t="s">
        <v>23</v>
      </c>
      <c r="G566" t="s">
        <v>24</v>
      </c>
      <c r="H566">
        <v>3.63</v>
      </c>
      <c r="I566">
        <v>125474</v>
      </c>
      <c r="J566" t="s">
        <v>19</v>
      </c>
      <c r="K566">
        <v>371.25</v>
      </c>
      <c r="L566">
        <v>0</v>
      </c>
      <c r="M566">
        <v>0.99</v>
      </c>
      <c r="N566">
        <v>275</v>
      </c>
      <c r="O566" t="s">
        <v>27</v>
      </c>
      <c r="P566">
        <v>375</v>
      </c>
    </row>
    <row r="567" spans="1:16" x14ac:dyDescent="0.35">
      <c r="A567">
        <v>63</v>
      </c>
      <c r="B567">
        <v>2000</v>
      </c>
      <c r="C567" t="str">
        <f>IF(book_sales[[#This Row],[Publishing Year]]&lt;1900,"Classic (Before 1900)",IF(book_sales[[#This Row],[Publishing Year]]&lt;2000,"20th Century (1900-1999)","21st Century (2000+)"))</f>
        <v>21st Century (2000+)</v>
      </c>
      <c r="D567" t="s">
        <v>153</v>
      </c>
      <c r="E567" t="s">
        <v>154</v>
      </c>
      <c r="F567" t="s">
        <v>23</v>
      </c>
      <c r="G567" t="s">
        <v>24</v>
      </c>
      <c r="H567">
        <v>4</v>
      </c>
      <c r="I567">
        <v>154476</v>
      </c>
      <c r="J567" t="s">
        <v>19</v>
      </c>
      <c r="K567">
        <v>1522.62</v>
      </c>
      <c r="L567">
        <v>0</v>
      </c>
      <c r="M567">
        <v>0.99</v>
      </c>
      <c r="N567">
        <v>65</v>
      </c>
      <c r="O567" t="s">
        <v>27</v>
      </c>
      <c r="P567">
        <v>1538</v>
      </c>
    </row>
    <row r="568" spans="1:16" x14ac:dyDescent="0.35">
      <c r="A568">
        <v>489</v>
      </c>
      <c r="B568">
        <v>2004</v>
      </c>
      <c r="C568" t="str">
        <f>IF(book_sales[[#This Row],[Publishing Year]]&lt;1900,"Classic (Before 1900)",IF(book_sales[[#This Row],[Publishing Year]]&lt;2000,"20th Century (1900-1999)","21st Century (2000+)"))</f>
        <v>21st Century (2000+)</v>
      </c>
      <c r="D568" t="s">
        <v>897</v>
      </c>
      <c r="E568" t="s">
        <v>898</v>
      </c>
      <c r="F568" t="s">
        <v>17</v>
      </c>
      <c r="G568" t="s">
        <v>24</v>
      </c>
      <c r="H568">
        <v>4</v>
      </c>
      <c r="I568">
        <v>113066</v>
      </c>
      <c r="J568" t="s">
        <v>19</v>
      </c>
      <c r="K568">
        <v>1153.3499999999999</v>
      </c>
      <c r="L568">
        <v>692.01</v>
      </c>
      <c r="M568">
        <v>6.99</v>
      </c>
      <c r="N568">
        <v>541</v>
      </c>
      <c r="O568" t="s">
        <v>34</v>
      </c>
      <c r="P568">
        <v>4455</v>
      </c>
    </row>
    <row r="569" spans="1:16" x14ac:dyDescent="0.35">
      <c r="A569">
        <v>82</v>
      </c>
      <c r="B569">
        <v>2008</v>
      </c>
      <c r="C569" t="str">
        <f>IF(book_sales[[#This Row],[Publishing Year]]&lt;1900,"Classic (Before 1900)",IF(book_sales[[#This Row],[Publishing Year]]&lt;2000,"20th Century (1900-1999)","21st Century (2000+)"))</f>
        <v>21st Century (2000+)</v>
      </c>
      <c r="D569" t="s">
        <v>188</v>
      </c>
      <c r="E569" t="s">
        <v>189</v>
      </c>
      <c r="F569" t="s">
        <v>92</v>
      </c>
      <c r="G569" t="s">
        <v>24</v>
      </c>
      <c r="H569">
        <v>4.12</v>
      </c>
      <c r="I569">
        <v>138377</v>
      </c>
      <c r="J569" t="s">
        <v>19</v>
      </c>
      <c r="K569">
        <v>4907.7</v>
      </c>
      <c r="L569">
        <v>0</v>
      </c>
      <c r="M569">
        <v>3.99</v>
      </c>
      <c r="N569">
        <v>85</v>
      </c>
      <c r="O569" t="s">
        <v>27</v>
      </c>
      <c r="P569">
        <v>1230</v>
      </c>
    </row>
    <row r="570" spans="1:16" x14ac:dyDescent="0.35">
      <c r="A570">
        <v>481</v>
      </c>
      <c r="B570">
        <v>2012</v>
      </c>
      <c r="C570" t="str">
        <f>IF(book_sales[[#This Row],[Publishing Year]]&lt;1900,"Classic (Before 1900)",IF(book_sales[[#This Row],[Publishing Year]]&lt;2000,"20th Century (1900-1999)","21st Century (2000+)"))</f>
        <v>21st Century (2000+)</v>
      </c>
      <c r="D570" t="s">
        <v>886</v>
      </c>
      <c r="E570" t="s">
        <v>189</v>
      </c>
      <c r="G570" t="s">
        <v>532</v>
      </c>
      <c r="H570">
        <v>4.13</v>
      </c>
      <c r="I570">
        <v>89460</v>
      </c>
      <c r="J570" t="s">
        <v>19</v>
      </c>
      <c r="K570">
        <v>332.33</v>
      </c>
      <c r="L570">
        <v>199.398</v>
      </c>
      <c r="M570">
        <v>1.99</v>
      </c>
      <c r="N570">
        <v>532</v>
      </c>
      <c r="O570" t="s">
        <v>20</v>
      </c>
      <c r="P570">
        <v>4509</v>
      </c>
    </row>
    <row r="571" spans="1:16" x14ac:dyDescent="0.35">
      <c r="A571">
        <v>830</v>
      </c>
      <c r="B571">
        <v>2006</v>
      </c>
      <c r="C571" t="str">
        <f>IF(book_sales[[#This Row],[Publishing Year]]&lt;1900,"Classic (Before 1900)",IF(book_sales[[#This Row],[Publishing Year]]&lt;2000,"20th Century (1900-1999)","21st Century (2000+)"))</f>
        <v>21st Century (2000+)</v>
      </c>
      <c r="D571" t="s">
        <v>1441</v>
      </c>
      <c r="E571" t="s">
        <v>189</v>
      </c>
      <c r="F571" t="s">
        <v>23</v>
      </c>
      <c r="G571" t="s">
        <v>24</v>
      </c>
      <c r="H571">
        <v>3.93</v>
      </c>
      <c r="I571">
        <v>69948</v>
      </c>
      <c r="J571" t="s">
        <v>19</v>
      </c>
      <c r="K571">
        <v>228</v>
      </c>
      <c r="L571">
        <v>0</v>
      </c>
      <c r="M571">
        <v>2</v>
      </c>
      <c r="N571">
        <v>970</v>
      </c>
      <c r="O571" t="s">
        <v>27</v>
      </c>
      <c r="P571">
        <v>2889</v>
      </c>
    </row>
    <row r="572" spans="1:16" x14ac:dyDescent="0.35">
      <c r="A572">
        <v>516</v>
      </c>
      <c r="B572">
        <v>2012</v>
      </c>
      <c r="C572" t="str">
        <f>IF(book_sales[[#This Row],[Publishing Year]]&lt;1900,"Classic (Before 1900)",IF(book_sales[[#This Row],[Publishing Year]]&lt;2000,"20th Century (1900-1999)","21st Century (2000+)"))</f>
        <v>21st Century (2000+)</v>
      </c>
      <c r="D572" t="s">
        <v>940</v>
      </c>
      <c r="E572" t="s">
        <v>941</v>
      </c>
      <c r="F572" t="s">
        <v>23</v>
      </c>
      <c r="G572" t="s">
        <v>532</v>
      </c>
      <c r="H572">
        <v>4.24</v>
      </c>
      <c r="I572">
        <v>85136</v>
      </c>
      <c r="J572" t="s">
        <v>19</v>
      </c>
      <c r="K572">
        <v>475.41</v>
      </c>
      <c r="L572">
        <v>0</v>
      </c>
      <c r="M572">
        <v>2.99</v>
      </c>
      <c r="N572">
        <v>572</v>
      </c>
      <c r="O572" t="s">
        <v>27</v>
      </c>
      <c r="P572">
        <v>4293</v>
      </c>
    </row>
    <row r="573" spans="1:16" x14ac:dyDescent="0.35">
      <c r="A573">
        <v>721</v>
      </c>
      <c r="B573">
        <v>2012</v>
      </c>
      <c r="C573" t="str">
        <f>IF(book_sales[[#This Row],[Publishing Year]]&lt;1900,"Classic (Before 1900)",IF(book_sales[[#This Row],[Publishing Year]]&lt;2000,"20th Century (1900-1999)","21st Century (2000+)"))</f>
        <v>21st Century (2000+)</v>
      </c>
      <c r="D573" t="s">
        <v>1273</v>
      </c>
      <c r="E573" t="s">
        <v>1274</v>
      </c>
      <c r="F573" t="s">
        <v>17</v>
      </c>
      <c r="G573" t="s">
        <v>24</v>
      </c>
      <c r="H573">
        <v>3.97</v>
      </c>
      <c r="I573">
        <v>69596</v>
      </c>
      <c r="J573" t="s">
        <v>30</v>
      </c>
      <c r="K573">
        <v>934.83</v>
      </c>
      <c r="L573">
        <v>560.89800000000002</v>
      </c>
      <c r="M573">
        <v>7.99</v>
      </c>
      <c r="N573">
        <v>827</v>
      </c>
      <c r="O573" t="s">
        <v>46</v>
      </c>
      <c r="P573">
        <v>34344</v>
      </c>
    </row>
    <row r="574" spans="1:16" x14ac:dyDescent="0.35">
      <c r="A574">
        <v>391</v>
      </c>
      <c r="B574">
        <v>1997</v>
      </c>
      <c r="C574" t="str">
        <f>IF(book_sales[[#This Row],[Publishing Year]]&lt;1900,"Classic (Before 1900)",IF(book_sales[[#This Row],[Publishing Year]]&lt;2000,"20th Century (1900-1999)","21st Century (2000+)"))</f>
        <v>20th Century (1900-1999)</v>
      </c>
      <c r="D574" t="s">
        <v>734</v>
      </c>
      <c r="E574" t="s">
        <v>735</v>
      </c>
      <c r="F574" t="s">
        <v>23</v>
      </c>
      <c r="G574" t="s">
        <v>24</v>
      </c>
      <c r="H574">
        <v>3.86</v>
      </c>
      <c r="I574">
        <v>100369</v>
      </c>
      <c r="J574" t="s">
        <v>19</v>
      </c>
      <c r="K574">
        <v>1062.8699999999999</v>
      </c>
      <c r="L574">
        <v>637.72199999999998</v>
      </c>
      <c r="M574">
        <v>4.99</v>
      </c>
      <c r="N574">
        <v>424</v>
      </c>
      <c r="O574" t="s">
        <v>31</v>
      </c>
      <c r="P574">
        <v>5751</v>
      </c>
    </row>
    <row r="575" spans="1:16" x14ac:dyDescent="0.35">
      <c r="A575">
        <v>754</v>
      </c>
      <c r="B575">
        <v>2012</v>
      </c>
      <c r="C575" t="str">
        <f>IF(book_sales[[#This Row],[Publishing Year]]&lt;1900,"Classic (Before 1900)",IF(book_sales[[#This Row],[Publishing Year]]&lt;2000,"20th Century (1900-1999)","21st Century (2000+)"))</f>
        <v>21st Century (2000+)</v>
      </c>
      <c r="D575" t="s">
        <v>1326</v>
      </c>
      <c r="E575" t="s">
        <v>1327</v>
      </c>
      <c r="F575" t="s">
        <v>23</v>
      </c>
      <c r="G575" t="s">
        <v>532</v>
      </c>
      <c r="H575">
        <v>4.08</v>
      </c>
      <c r="I575">
        <v>93818</v>
      </c>
      <c r="J575" t="s">
        <v>19</v>
      </c>
      <c r="K575">
        <v>462.84</v>
      </c>
      <c r="L575">
        <v>0</v>
      </c>
      <c r="M575">
        <v>3.99</v>
      </c>
      <c r="N575">
        <v>869</v>
      </c>
      <c r="O575" t="s">
        <v>27</v>
      </c>
      <c r="P575">
        <v>31320</v>
      </c>
    </row>
    <row r="576" spans="1:16" x14ac:dyDescent="0.35">
      <c r="A576">
        <v>289</v>
      </c>
      <c r="B576">
        <v>1989</v>
      </c>
      <c r="C576" t="str">
        <f>IF(book_sales[[#This Row],[Publishing Year]]&lt;1900,"Classic (Before 1900)",IF(book_sales[[#This Row],[Publishing Year]]&lt;2000,"20th Century (1900-1999)","21st Century (2000+)"))</f>
        <v>20th Century (1900-1999)</v>
      </c>
      <c r="D576" t="s">
        <v>550</v>
      </c>
      <c r="E576" t="s">
        <v>551</v>
      </c>
      <c r="F576" t="s">
        <v>23</v>
      </c>
      <c r="G576" t="s">
        <v>532</v>
      </c>
      <c r="H576">
        <v>4.0999999999999996</v>
      </c>
      <c r="I576">
        <v>105892</v>
      </c>
      <c r="J576" t="s">
        <v>41</v>
      </c>
      <c r="K576">
        <v>1874.87</v>
      </c>
      <c r="L576">
        <v>1124.922</v>
      </c>
      <c r="M576">
        <v>5.99</v>
      </c>
      <c r="N576">
        <v>312</v>
      </c>
      <c r="O576" t="s">
        <v>46</v>
      </c>
      <c r="P576">
        <v>313</v>
      </c>
    </row>
    <row r="577" spans="1:16" x14ac:dyDescent="0.35">
      <c r="A577">
        <v>778</v>
      </c>
      <c r="B577">
        <v>2010</v>
      </c>
      <c r="C577" t="str">
        <f>IF(book_sales[[#This Row],[Publishing Year]]&lt;1900,"Classic (Before 1900)",IF(book_sales[[#This Row],[Publishing Year]]&lt;2000,"20th Century (1900-1999)","21st Century (2000+)"))</f>
        <v>21st Century (2000+)</v>
      </c>
      <c r="D577" t="s">
        <v>1364</v>
      </c>
      <c r="E577" t="s">
        <v>1365</v>
      </c>
      <c r="F577" t="s">
        <v>92</v>
      </c>
      <c r="G577" t="s">
        <v>24</v>
      </c>
      <c r="H577">
        <v>3.84</v>
      </c>
      <c r="I577">
        <v>60409</v>
      </c>
      <c r="J577" t="s">
        <v>19</v>
      </c>
      <c r="K577">
        <v>926.84</v>
      </c>
      <c r="L577">
        <v>556.10400000000004</v>
      </c>
      <c r="M577">
        <v>7.99</v>
      </c>
      <c r="N577">
        <v>900</v>
      </c>
      <c r="O577" t="s">
        <v>46</v>
      </c>
      <c r="P577">
        <v>28512</v>
      </c>
    </row>
    <row r="578" spans="1:16" x14ac:dyDescent="0.35">
      <c r="A578">
        <v>349</v>
      </c>
      <c r="B578">
        <v>2008</v>
      </c>
      <c r="C578" t="str">
        <f>IF(book_sales[[#This Row],[Publishing Year]]&lt;1900,"Classic (Before 1900)",IF(book_sales[[#This Row],[Publishing Year]]&lt;2000,"20th Century (1900-1999)","21st Century (2000+)"))</f>
        <v>21st Century (2000+)</v>
      </c>
      <c r="D578" t="s">
        <v>661</v>
      </c>
      <c r="E578" t="s">
        <v>662</v>
      </c>
      <c r="F578" t="s">
        <v>17</v>
      </c>
      <c r="G578" t="s">
        <v>532</v>
      </c>
      <c r="H578">
        <v>4.03</v>
      </c>
      <c r="I578">
        <v>132285</v>
      </c>
      <c r="J578" t="s">
        <v>19</v>
      </c>
      <c r="K578">
        <v>471.63</v>
      </c>
      <c r="L578">
        <v>0</v>
      </c>
      <c r="M578">
        <v>1.99</v>
      </c>
      <c r="N578">
        <v>376</v>
      </c>
      <c r="O578" t="s">
        <v>27</v>
      </c>
      <c r="P578">
        <v>237</v>
      </c>
    </row>
    <row r="579" spans="1:16" x14ac:dyDescent="0.35">
      <c r="A579">
        <v>696</v>
      </c>
      <c r="B579">
        <v>2009</v>
      </c>
      <c r="C579" t="str">
        <f>IF(book_sales[[#This Row],[Publishing Year]]&lt;1900,"Classic (Before 1900)",IF(book_sales[[#This Row],[Publishing Year]]&lt;2000,"20th Century (1900-1999)","21st Century (2000+)"))</f>
        <v>21st Century (2000+)</v>
      </c>
      <c r="D579" t="s">
        <v>481</v>
      </c>
      <c r="E579" t="s">
        <v>662</v>
      </c>
      <c r="F579" t="s">
        <v>23</v>
      </c>
      <c r="G579" t="s">
        <v>532</v>
      </c>
      <c r="H579">
        <v>4.16</v>
      </c>
      <c r="I579">
        <v>95026</v>
      </c>
      <c r="J579" t="s">
        <v>19</v>
      </c>
      <c r="K579">
        <v>761.1</v>
      </c>
      <c r="L579">
        <v>456.66</v>
      </c>
      <c r="M579">
        <v>6.45</v>
      </c>
      <c r="N579">
        <v>802</v>
      </c>
      <c r="O579" t="s">
        <v>66</v>
      </c>
      <c r="P579">
        <v>36072</v>
      </c>
    </row>
    <row r="580" spans="1:16" x14ac:dyDescent="0.35">
      <c r="A580">
        <v>720</v>
      </c>
      <c r="B580">
        <v>2010</v>
      </c>
      <c r="C580" t="str">
        <f>IF(book_sales[[#This Row],[Publishing Year]]&lt;1900,"Classic (Before 1900)",IF(book_sales[[#This Row],[Publishing Year]]&lt;2000,"20th Century (1900-1999)","21st Century (2000+)"))</f>
        <v>21st Century (2000+)</v>
      </c>
      <c r="D580" t="s">
        <v>1272</v>
      </c>
      <c r="E580" t="s">
        <v>662</v>
      </c>
      <c r="F580" t="s">
        <v>92</v>
      </c>
      <c r="G580" t="s">
        <v>532</v>
      </c>
      <c r="H580">
        <v>4.21</v>
      </c>
      <c r="I580">
        <v>92922</v>
      </c>
      <c r="J580" t="s">
        <v>19</v>
      </c>
      <c r="K580">
        <v>466.83</v>
      </c>
      <c r="L580">
        <v>0</v>
      </c>
      <c r="M580">
        <v>3.99</v>
      </c>
      <c r="N580">
        <v>826</v>
      </c>
      <c r="O580" t="s">
        <v>27</v>
      </c>
      <c r="P580">
        <v>34560</v>
      </c>
    </row>
    <row r="581" spans="1:16" x14ac:dyDescent="0.35">
      <c r="A581">
        <v>111</v>
      </c>
      <c r="B581">
        <v>2007</v>
      </c>
      <c r="C581" t="str">
        <f>IF(book_sales[[#This Row],[Publishing Year]]&lt;1900,"Classic (Before 1900)",IF(book_sales[[#This Row],[Publishing Year]]&lt;2000,"20th Century (1900-1999)","21st Century (2000+)"))</f>
        <v>21st Century (2000+)</v>
      </c>
      <c r="D581" t="s">
        <v>238</v>
      </c>
      <c r="E581" t="s">
        <v>239</v>
      </c>
      <c r="F581" t="s">
        <v>23</v>
      </c>
      <c r="G581" t="s">
        <v>24</v>
      </c>
      <c r="H581">
        <v>4.2300000000000004</v>
      </c>
      <c r="I581">
        <v>128715</v>
      </c>
      <c r="J581" t="s">
        <v>19</v>
      </c>
      <c r="K581">
        <v>905.85</v>
      </c>
      <c r="L581">
        <v>543.51</v>
      </c>
      <c r="M581">
        <v>0.99</v>
      </c>
      <c r="N581">
        <v>117</v>
      </c>
      <c r="O581" t="s">
        <v>46</v>
      </c>
      <c r="P581">
        <v>915</v>
      </c>
    </row>
    <row r="582" spans="1:16" x14ac:dyDescent="0.35">
      <c r="A582">
        <v>351</v>
      </c>
      <c r="B582">
        <v>1978</v>
      </c>
      <c r="C582" t="str">
        <f>IF(book_sales[[#This Row],[Publishing Year]]&lt;1900,"Classic (Before 1900)",IF(book_sales[[#This Row],[Publishing Year]]&lt;2000,"20th Century (1900-1999)","21st Century (2000+)"))</f>
        <v>20th Century (1900-1999)</v>
      </c>
      <c r="D582" t="s">
        <v>665</v>
      </c>
      <c r="E582" t="s">
        <v>239</v>
      </c>
      <c r="F582" t="s">
        <v>17</v>
      </c>
      <c r="G582" t="s">
        <v>532</v>
      </c>
      <c r="H582">
        <v>4.16</v>
      </c>
      <c r="I582">
        <v>93475</v>
      </c>
      <c r="J582" t="s">
        <v>30</v>
      </c>
      <c r="K582">
        <v>708.63</v>
      </c>
      <c r="L582">
        <v>0</v>
      </c>
      <c r="M582">
        <v>2.99</v>
      </c>
      <c r="N582">
        <v>376</v>
      </c>
      <c r="O582" t="s">
        <v>27</v>
      </c>
      <c r="P582">
        <v>237</v>
      </c>
    </row>
    <row r="583" spans="1:16" x14ac:dyDescent="0.35">
      <c r="A583">
        <v>550</v>
      </c>
      <c r="B583">
        <v>2012</v>
      </c>
      <c r="C583" t="str">
        <f>IF(book_sales[[#This Row],[Publishing Year]]&lt;1900,"Classic (Before 1900)",IF(book_sales[[#This Row],[Publishing Year]]&lt;2000,"20th Century (1900-1999)","21st Century (2000+)"))</f>
        <v>21st Century (2000+)</v>
      </c>
      <c r="D583" t="s">
        <v>997</v>
      </c>
      <c r="E583" t="s">
        <v>239</v>
      </c>
      <c r="F583" t="s">
        <v>23</v>
      </c>
      <c r="G583" t="s">
        <v>532</v>
      </c>
      <c r="H583">
        <v>4.29</v>
      </c>
      <c r="I583">
        <v>71971</v>
      </c>
      <c r="J583" t="s">
        <v>41</v>
      </c>
      <c r="K583">
        <v>1488.51</v>
      </c>
      <c r="L583">
        <v>893.10599999999999</v>
      </c>
      <c r="M583">
        <v>9.99</v>
      </c>
      <c r="N583">
        <v>616</v>
      </c>
      <c r="O583" t="s">
        <v>376</v>
      </c>
      <c r="P583">
        <v>4023</v>
      </c>
    </row>
    <row r="584" spans="1:16" x14ac:dyDescent="0.35">
      <c r="A584">
        <v>295</v>
      </c>
      <c r="B584">
        <v>1908</v>
      </c>
      <c r="C584" t="str">
        <f>IF(book_sales[[#This Row],[Publishing Year]]&lt;1900,"Classic (Before 1900)",IF(book_sales[[#This Row],[Publishing Year]]&lt;2000,"20th Century (1900-1999)","21st Century (2000+)"))</f>
        <v>20th Century (1900-1999)</v>
      </c>
      <c r="D584" t="s">
        <v>561</v>
      </c>
      <c r="E584" t="s">
        <v>562</v>
      </c>
      <c r="F584" t="s">
        <v>23</v>
      </c>
      <c r="G584" t="s">
        <v>24</v>
      </c>
      <c r="H584">
        <v>3.98</v>
      </c>
      <c r="I584">
        <v>124612</v>
      </c>
      <c r="J584" t="s">
        <v>19</v>
      </c>
      <c r="K584">
        <v>10327.299999999999</v>
      </c>
      <c r="L584">
        <v>6196.38</v>
      </c>
      <c r="M584">
        <v>33.86</v>
      </c>
      <c r="N584">
        <v>317</v>
      </c>
      <c r="O584" t="s">
        <v>34</v>
      </c>
      <c r="P584">
        <v>305</v>
      </c>
    </row>
    <row r="585" spans="1:16" x14ac:dyDescent="0.35">
      <c r="A585">
        <v>626</v>
      </c>
      <c r="B585">
        <v>1981</v>
      </c>
      <c r="C585" t="str">
        <f>IF(book_sales[[#This Row],[Publishing Year]]&lt;1900,"Classic (Before 1900)",IF(book_sales[[#This Row],[Publishing Year]]&lt;2000,"20th Century (1900-1999)","21st Century (2000+)"))</f>
        <v>20th Century (1900-1999)</v>
      </c>
      <c r="D585" t="s">
        <v>1119</v>
      </c>
      <c r="E585" t="s">
        <v>1120</v>
      </c>
      <c r="F585" t="s">
        <v>17</v>
      </c>
      <c r="G585" t="s">
        <v>24</v>
      </c>
      <c r="H585">
        <v>3.85</v>
      </c>
      <c r="I585">
        <v>70241</v>
      </c>
      <c r="J585" t="s">
        <v>608</v>
      </c>
      <c r="K585">
        <v>888.32</v>
      </c>
      <c r="L585">
        <v>532.99199999999996</v>
      </c>
      <c r="M585">
        <v>6.94</v>
      </c>
      <c r="N585">
        <v>710</v>
      </c>
      <c r="O585" t="s">
        <v>27</v>
      </c>
      <c r="P585">
        <v>47520</v>
      </c>
    </row>
    <row r="586" spans="1:16" x14ac:dyDescent="0.35">
      <c r="A586">
        <v>755</v>
      </c>
      <c r="B586">
        <v>2001</v>
      </c>
      <c r="C586" t="str">
        <f>IF(book_sales[[#This Row],[Publishing Year]]&lt;1900,"Classic (Before 1900)",IF(book_sales[[#This Row],[Publishing Year]]&lt;2000,"20th Century (1900-1999)","21st Century (2000+)"))</f>
        <v>21st Century (2000+)</v>
      </c>
      <c r="D586" t="s">
        <v>1328</v>
      </c>
      <c r="E586" t="s">
        <v>1329</v>
      </c>
      <c r="F586" t="s">
        <v>23</v>
      </c>
      <c r="G586" t="s">
        <v>24</v>
      </c>
      <c r="H586">
        <v>3.85</v>
      </c>
      <c r="I586">
        <v>90908</v>
      </c>
      <c r="J586" t="s">
        <v>19</v>
      </c>
      <c r="K586">
        <v>114.84</v>
      </c>
      <c r="L586">
        <v>68.903999999999996</v>
      </c>
      <c r="M586">
        <v>0.99</v>
      </c>
      <c r="N586">
        <v>869</v>
      </c>
      <c r="O586" t="s">
        <v>46</v>
      </c>
      <c r="P586">
        <v>31320</v>
      </c>
    </row>
    <row r="587" spans="1:16" x14ac:dyDescent="0.35">
      <c r="A587">
        <v>531</v>
      </c>
      <c r="B587">
        <v>2015</v>
      </c>
      <c r="C587" t="str">
        <f>IF(book_sales[[#This Row],[Publishing Year]]&lt;1900,"Classic (Before 1900)",IF(book_sales[[#This Row],[Publishing Year]]&lt;2000,"20th Century (1900-1999)","21st Century (2000+)"))</f>
        <v>21st Century (2000+)</v>
      </c>
      <c r="D587" t="s">
        <v>964</v>
      </c>
      <c r="E587" t="s">
        <v>965</v>
      </c>
      <c r="F587" t="s">
        <v>23</v>
      </c>
      <c r="G587" t="s">
        <v>24</v>
      </c>
      <c r="H587">
        <v>3.85</v>
      </c>
      <c r="I587">
        <v>111044</v>
      </c>
      <c r="J587" t="s">
        <v>19</v>
      </c>
      <c r="K587">
        <v>614.46</v>
      </c>
      <c r="L587">
        <v>0</v>
      </c>
      <c r="M587">
        <v>3.99</v>
      </c>
      <c r="N587">
        <v>592</v>
      </c>
      <c r="O587" t="s">
        <v>27</v>
      </c>
      <c r="P587">
        <v>4158</v>
      </c>
    </row>
    <row r="588" spans="1:16" x14ac:dyDescent="0.35">
      <c r="A588">
        <v>742</v>
      </c>
      <c r="B588">
        <v>2004</v>
      </c>
      <c r="C588" t="str">
        <f>IF(book_sales[[#This Row],[Publishing Year]]&lt;1900,"Classic (Before 1900)",IF(book_sales[[#This Row],[Publishing Year]]&lt;2000,"20th Century (1900-1999)","21st Century (2000+)"))</f>
        <v>21st Century (2000+)</v>
      </c>
      <c r="D588" t="s">
        <v>1307</v>
      </c>
      <c r="E588" t="s">
        <v>1308</v>
      </c>
      <c r="F588" t="s">
        <v>17</v>
      </c>
      <c r="G588" t="s">
        <v>532</v>
      </c>
      <c r="H588">
        <v>4.04</v>
      </c>
      <c r="I588">
        <v>91390</v>
      </c>
      <c r="J588" t="s">
        <v>41</v>
      </c>
      <c r="K588">
        <v>349.83</v>
      </c>
      <c r="L588">
        <v>0</v>
      </c>
      <c r="M588">
        <v>2.99</v>
      </c>
      <c r="N588">
        <v>852</v>
      </c>
      <c r="O588" t="s">
        <v>27</v>
      </c>
      <c r="P588">
        <v>32184</v>
      </c>
    </row>
    <row r="589" spans="1:16" x14ac:dyDescent="0.35">
      <c r="A589">
        <v>408</v>
      </c>
      <c r="B589">
        <v>2013</v>
      </c>
      <c r="C589" t="str">
        <f>IF(book_sales[[#This Row],[Publishing Year]]&lt;1900,"Classic (Before 1900)",IF(book_sales[[#This Row],[Publishing Year]]&lt;2000,"20th Century (1900-1999)","21st Century (2000+)"))</f>
        <v>21st Century (2000+)</v>
      </c>
      <c r="D589" t="s">
        <v>767</v>
      </c>
      <c r="E589" t="s">
        <v>768</v>
      </c>
      <c r="F589" t="s">
        <v>23</v>
      </c>
      <c r="G589" t="s">
        <v>24</v>
      </c>
      <c r="H589">
        <v>3.82</v>
      </c>
      <c r="I589">
        <v>86965</v>
      </c>
      <c r="J589" t="s">
        <v>41</v>
      </c>
      <c r="K589">
        <v>198.99</v>
      </c>
      <c r="L589">
        <v>119.39400000000001</v>
      </c>
      <c r="M589">
        <v>0.99</v>
      </c>
      <c r="N589">
        <v>447</v>
      </c>
      <c r="O589" t="s">
        <v>27</v>
      </c>
      <c r="P589">
        <v>5427</v>
      </c>
    </row>
    <row r="590" spans="1:16" x14ac:dyDescent="0.35">
      <c r="A590">
        <v>299</v>
      </c>
      <c r="B590">
        <v>2010</v>
      </c>
      <c r="C590" t="str">
        <f>IF(book_sales[[#This Row],[Publishing Year]]&lt;1900,"Classic (Before 1900)",IF(book_sales[[#This Row],[Publishing Year]]&lt;2000,"20th Century (1900-1999)","21st Century (2000+)"))</f>
        <v>21st Century (2000+)</v>
      </c>
      <c r="D590" t="s">
        <v>569</v>
      </c>
      <c r="E590" t="s">
        <v>570</v>
      </c>
      <c r="F590" t="s">
        <v>17</v>
      </c>
      <c r="G590" t="s">
        <v>24</v>
      </c>
      <c r="H590">
        <v>3.86</v>
      </c>
      <c r="I590">
        <v>136736</v>
      </c>
      <c r="J590" t="s">
        <v>19</v>
      </c>
      <c r="K590">
        <v>1181.04</v>
      </c>
      <c r="L590">
        <v>0</v>
      </c>
      <c r="M590">
        <v>3.99</v>
      </c>
      <c r="N590">
        <v>322</v>
      </c>
      <c r="O590" t="s">
        <v>27</v>
      </c>
      <c r="P590">
        <v>296</v>
      </c>
    </row>
    <row r="591" spans="1:16" x14ac:dyDescent="0.35">
      <c r="A591">
        <v>402</v>
      </c>
      <c r="B591">
        <v>2009</v>
      </c>
      <c r="C591" t="str">
        <f>IF(book_sales[[#This Row],[Publishing Year]]&lt;1900,"Classic (Before 1900)",IF(book_sales[[#This Row],[Publishing Year]]&lt;2000,"20th Century (1900-1999)","21st Century (2000+)"))</f>
        <v>21st Century (2000+)</v>
      </c>
      <c r="D591" t="s">
        <v>755</v>
      </c>
      <c r="E591" t="s">
        <v>756</v>
      </c>
      <c r="F591" t="s">
        <v>17</v>
      </c>
      <c r="G591" t="s">
        <v>532</v>
      </c>
      <c r="H591">
        <v>4.12</v>
      </c>
      <c r="I591">
        <v>98180</v>
      </c>
      <c r="J591" t="s">
        <v>19</v>
      </c>
      <c r="K591">
        <v>2457.9499999999998</v>
      </c>
      <c r="L591">
        <v>1474.77</v>
      </c>
      <c r="M591">
        <v>11.99</v>
      </c>
      <c r="N591">
        <v>439</v>
      </c>
      <c r="O591" t="s">
        <v>34</v>
      </c>
      <c r="P591">
        <v>5535</v>
      </c>
    </row>
    <row r="592" spans="1:16" x14ac:dyDescent="0.35">
      <c r="A592">
        <v>161</v>
      </c>
      <c r="B592">
        <v>2008</v>
      </c>
      <c r="C592" t="str">
        <f>IF(book_sales[[#This Row],[Publishing Year]]&lt;1900,"Classic (Before 1900)",IF(book_sales[[#This Row],[Publishing Year]]&lt;2000,"20th Century (1900-1999)","21st Century (2000+)"))</f>
        <v>21st Century (2000+)</v>
      </c>
      <c r="D592" t="s">
        <v>324</v>
      </c>
      <c r="E592" t="s">
        <v>325</v>
      </c>
      <c r="F592" t="s">
        <v>17</v>
      </c>
      <c r="G592" t="s">
        <v>24</v>
      </c>
      <c r="H592">
        <v>4.04</v>
      </c>
      <c r="I592">
        <v>121966</v>
      </c>
      <c r="J592" t="s">
        <v>19</v>
      </c>
      <c r="K592">
        <v>3218.55</v>
      </c>
      <c r="L592">
        <v>0</v>
      </c>
      <c r="M592">
        <v>4.99</v>
      </c>
      <c r="N592">
        <v>171</v>
      </c>
      <c r="O592" t="s">
        <v>27</v>
      </c>
      <c r="P592">
        <v>645</v>
      </c>
    </row>
    <row r="593" spans="1:16" x14ac:dyDescent="0.35">
      <c r="A593">
        <v>875</v>
      </c>
      <c r="B593">
        <v>2009</v>
      </c>
      <c r="C593" t="str">
        <f>IF(book_sales[[#This Row],[Publishing Year]]&lt;1900,"Classic (Before 1900)",IF(book_sales[[#This Row],[Publishing Year]]&lt;2000,"20th Century (1900-1999)","21st Century (2000+)"))</f>
        <v>21st Century (2000+)</v>
      </c>
      <c r="D593" t="s">
        <v>1507</v>
      </c>
      <c r="E593" t="s">
        <v>325</v>
      </c>
      <c r="F593" t="s">
        <v>92</v>
      </c>
      <c r="G593" t="s">
        <v>532</v>
      </c>
      <c r="H593">
        <v>4.13</v>
      </c>
      <c r="I593">
        <v>66577</v>
      </c>
      <c r="J593" t="s">
        <v>19</v>
      </c>
      <c r="K593">
        <v>334.88</v>
      </c>
      <c r="L593">
        <v>0</v>
      </c>
      <c r="M593">
        <v>2.99</v>
      </c>
      <c r="N593">
        <v>1027</v>
      </c>
      <c r="O593" t="s">
        <v>27</v>
      </c>
      <c r="P593">
        <v>4480</v>
      </c>
    </row>
    <row r="594" spans="1:16" x14ac:dyDescent="0.35">
      <c r="A594">
        <v>1068</v>
      </c>
      <c r="B594">
        <v>2011</v>
      </c>
      <c r="C594" t="str">
        <f>IF(book_sales[[#This Row],[Publishing Year]]&lt;1900,"Classic (Before 1900)",IF(book_sales[[#This Row],[Publishing Year]]&lt;2000,"20th Century (1900-1999)","21st Century (2000+)"))</f>
        <v>21st Century (2000+)</v>
      </c>
      <c r="D594" t="s">
        <v>1804</v>
      </c>
      <c r="E594" t="s">
        <v>325</v>
      </c>
      <c r="F594" t="s">
        <v>17</v>
      </c>
      <c r="G594" t="s">
        <v>532</v>
      </c>
      <c r="H594">
        <v>4.17</v>
      </c>
      <c r="I594">
        <v>58028</v>
      </c>
      <c r="J594" t="s">
        <v>19</v>
      </c>
      <c r="K594">
        <v>104.94</v>
      </c>
      <c r="L594">
        <v>62.963999999999999</v>
      </c>
      <c r="M594">
        <v>0.99</v>
      </c>
      <c r="N594">
        <v>1272</v>
      </c>
      <c r="O594" t="s">
        <v>27</v>
      </c>
      <c r="P594">
        <v>106</v>
      </c>
    </row>
    <row r="595" spans="1:16" x14ac:dyDescent="0.35">
      <c r="A595">
        <v>543</v>
      </c>
      <c r="B595">
        <v>1959</v>
      </c>
      <c r="C595" t="str">
        <f>IF(book_sales[[#This Row],[Publishing Year]]&lt;1900,"Classic (Before 1900)",IF(book_sales[[#This Row],[Publishing Year]]&lt;2000,"20th Century (1900-1999)","21st Century (2000+)"))</f>
        <v>20th Century (1900-1999)</v>
      </c>
      <c r="D595" t="s">
        <v>983</v>
      </c>
      <c r="E595" t="s">
        <v>984</v>
      </c>
      <c r="F595" t="s">
        <v>92</v>
      </c>
      <c r="G595" t="s">
        <v>532</v>
      </c>
      <c r="H595">
        <v>4.16</v>
      </c>
      <c r="I595">
        <v>72493</v>
      </c>
      <c r="J595" t="s">
        <v>19</v>
      </c>
      <c r="K595">
        <v>151</v>
      </c>
      <c r="L595">
        <v>90.6</v>
      </c>
      <c r="M595">
        <v>1</v>
      </c>
      <c r="N595">
        <v>607</v>
      </c>
      <c r="O595" t="s">
        <v>27</v>
      </c>
      <c r="P595">
        <v>4077</v>
      </c>
    </row>
    <row r="596" spans="1:16" x14ac:dyDescent="0.35">
      <c r="A596">
        <v>427</v>
      </c>
      <c r="B596">
        <v>1908</v>
      </c>
      <c r="C596" t="str">
        <f>IF(book_sales[[#This Row],[Publishing Year]]&lt;1900,"Classic (Before 1900)",IF(book_sales[[#This Row],[Publishing Year]]&lt;2000,"20th Century (1900-1999)","21st Century (2000+)"))</f>
        <v>20th Century (1900-1999)</v>
      </c>
      <c r="D596" t="s">
        <v>795</v>
      </c>
      <c r="E596" t="s">
        <v>796</v>
      </c>
      <c r="G596" t="s">
        <v>53</v>
      </c>
      <c r="H596">
        <v>4.42</v>
      </c>
      <c r="I596">
        <v>92142</v>
      </c>
      <c r="J596" t="s">
        <v>19</v>
      </c>
      <c r="K596">
        <v>1510.11</v>
      </c>
      <c r="L596">
        <v>906.06600000000003</v>
      </c>
      <c r="M596">
        <v>7.99</v>
      </c>
      <c r="N596">
        <v>472</v>
      </c>
      <c r="O596" t="s">
        <v>46</v>
      </c>
      <c r="P596">
        <v>5103</v>
      </c>
    </row>
    <row r="597" spans="1:16" x14ac:dyDescent="0.35">
      <c r="A597">
        <v>581</v>
      </c>
      <c r="B597">
        <v>1915</v>
      </c>
      <c r="C597" t="str">
        <f>IF(book_sales[[#This Row],[Publishing Year]]&lt;1900,"Classic (Before 1900)",IF(book_sales[[#This Row],[Publishing Year]]&lt;2000,"20th Century (1900-1999)","21st Century (2000+)"))</f>
        <v>20th Century (1900-1999)</v>
      </c>
      <c r="D597" t="s">
        <v>1048</v>
      </c>
      <c r="E597" t="s">
        <v>796</v>
      </c>
      <c r="F597" t="s">
        <v>23</v>
      </c>
      <c r="G597" t="s">
        <v>532</v>
      </c>
      <c r="H597">
        <v>4.21</v>
      </c>
      <c r="I597">
        <v>97049</v>
      </c>
      <c r="J597" t="s">
        <v>19</v>
      </c>
      <c r="K597">
        <v>139.59</v>
      </c>
      <c r="L597">
        <v>83.754000000000005</v>
      </c>
      <c r="M597">
        <v>0.99</v>
      </c>
      <c r="N597">
        <v>652</v>
      </c>
      <c r="O597" t="s">
        <v>46</v>
      </c>
      <c r="P597">
        <v>60696</v>
      </c>
    </row>
    <row r="598" spans="1:16" x14ac:dyDescent="0.35">
      <c r="A598">
        <v>679</v>
      </c>
      <c r="B598">
        <v>1909</v>
      </c>
      <c r="C598" t="str">
        <f>IF(book_sales[[#This Row],[Publishing Year]]&lt;1900,"Classic (Before 1900)",IF(book_sales[[#This Row],[Publishing Year]]&lt;2000,"20th Century (1900-1999)","21st Century (2000+)"))</f>
        <v>20th Century (1900-1999)</v>
      </c>
      <c r="D598" t="s">
        <v>1210</v>
      </c>
      <c r="E598" t="s">
        <v>796</v>
      </c>
      <c r="F598" t="s">
        <v>17</v>
      </c>
      <c r="G598" t="s">
        <v>532</v>
      </c>
      <c r="H598">
        <v>4.21</v>
      </c>
      <c r="I598">
        <v>99918</v>
      </c>
      <c r="J598" t="s">
        <v>19</v>
      </c>
      <c r="K598">
        <v>117.81</v>
      </c>
      <c r="L598">
        <v>70.686000000000007</v>
      </c>
      <c r="M598">
        <v>0.99</v>
      </c>
      <c r="N598">
        <v>782</v>
      </c>
      <c r="O598" t="s">
        <v>27</v>
      </c>
      <c r="P598">
        <v>37368</v>
      </c>
    </row>
    <row r="599" spans="1:16" x14ac:dyDescent="0.35">
      <c r="A599">
        <v>4</v>
      </c>
      <c r="B599">
        <v>2011</v>
      </c>
      <c r="C599" t="str">
        <f>IF(book_sales[[#This Row],[Publishing Year]]&lt;1900,"Classic (Before 1900)",IF(book_sales[[#This Row],[Publishing Year]]&lt;2000,"20th Century (1900-1999)","21st Century (2000+)"))</f>
        <v>21st Century (2000+)</v>
      </c>
      <c r="D599" t="s">
        <v>32</v>
      </c>
      <c r="E599" t="s">
        <v>33</v>
      </c>
      <c r="F599" t="s">
        <v>23</v>
      </c>
      <c r="G599" t="s">
        <v>24</v>
      </c>
      <c r="H599">
        <v>4.04</v>
      </c>
      <c r="I599">
        <v>198283</v>
      </c>
      <c r="J599" t="s">
        <v>19</v>
      </c>
      <c r="K599">
        <v>37952.5</v>
      </c>
      <c r="L599">
        <v>22771.5</v>
      </c>
      <c r="M599">
        <v>7.99</v>
      </c>
      <c r="N599">
        <v>4</v>
      </c>
      <c r="O599" t="s">
        <v>34</v>
      </c>
      <c r="P599">
        <v>4750</v>
      </c>
    </row>
    <row r="600" spans="1:16" x14ac:dyDescent="0.35">
      <c r="A600">
        <v>971</v>
      </c>
      <c r="B600">
        <v>2012</v>
      </c>
      <c r="C600" t="str">
        <f>IF(book_sales[[#This Row],[Publishing Year]]&lt;1900,"Classic (Before 1900)",IF(book_sales[[#This Row],[Publishing Year]]&lt;2000,"20th Century (1900-1999)","21st Century (2000+)"))</f>
        <v>21st Century (2000+)</v>
      </c>
      <c r="D600" t="s">
        <v>1653</v>
      </c>
      <c r="E600" t="s">
        <v>33</v>
      </c>
      <c r="F600" t="s">
        <v>144</v>
      </c>
      <c r="G600" t="s">
        <v>532</v>
      </c>
      <c r="H600">
        <v>4.21</v>
      </c>
      <c r="I600">
        <v>85746</v>
      </c>
      <c r="J600" t="s">
        <v>19</v>
      </c>
      <c r="K600">
        <v>325.91000000000003</v>
      </c>
      <c r="L600">
        <v>195.54599999999999</v>
      </c>
      <c r="M600">
        <v>2.99</v>
      </c>
      <c r="N600">
        <v>1148</v>
      </c>
      <c r="O600" t="s">
        <v>27</v>
      </c>
      <c r="P600">
        <v>4240</v>
      </c>
    </row>
    <row r="601" spans="1:16" x14ac:dyDescent="0.35">
      <c r="A601">
        <v>568</v>
      </c>
      <c r="B601">
        <v>-300</v>
      </c>
      <c r="C601" t="str">
        <f>IF(book_sales[[#This Row],[Publishing Year]]&lt;1900,"Classic (Before 1900)",IF(book_sales[[#This Row],[Publishing Year]]&lt;2000,"20th Century (1900-1999)","21st Century (2000+)"))</f>
        <v>Classic (Before 1900)</v>
      </c>
      <c r="D601" t="s">
        <v>1029</v>
      </c>
      <c r="E601" t="s">
        <v>1030</v>
      </c>
      <c r="F601" t="s">
        <v>23</v>
      </c>
      <c r="G601" t="s">
        <v>532</v>
      </c>
      <c r="H601">
        <v>4.3099999999999996</v>
      </c>
      <c r="I601">
        <v>39863</v>
      </c>
      <c r="J601" t="s">
        <v>19</v>
      </c>
      <c r="K601">
        <v>665.55</v>
      </c>
      <c r="L601">
        <v>399.33</v>
      </c>
      <c r="M601">
        <v>4.59</v>
      </c>
      <c r="N601">
        <v>632</v>
      </c>
      <c r="O601" t="s">
        <v>34</v>
      </c>
      <c r="P601">
        <v>3915</v>
      </c>
    </row>
    <row r="602" spans="1:16" x14ac:dyDescent="0.35">
      <c r="A602">
        <v>226</v>
      </c>
      <c r="B602">
        <v>1985</v>
      </c>
      <c r="C602" t="str">
        <f>IF(book_sales[[#This Row],[Publishing Year]]&lt;1900,"Classic (Before 1900)",IF(book_sales[[#This Row],[Publishing Year]]&lt;2000,"20th Century (1900-1999)","21st Century (2000+)"))</f>
        <v>20th Century (1900-1999)</v>
      </c>
      <c r="D602" t="s">
        <v>438</v>
      </c>
      <c r="E602" t="s">
        <v>439</v>
      </c>
      <c r="F602" t="s">
        <v>17</v>
      </c>
      <c r="G602" t="s">
        <v>53</v>
      </c>
      <c r="H602">
        <v>4.47</v>
      </c>
      <c r="I602">
        <v>111498</v>
      </c>
      <c r="J602" t="s">
        <v>19</v>
      </c>
      <c r="K602">
        <v>1687.77</v>
      </c>
      <c r="L602">
        <v>0</v>
      </c>
      <c r="M602">
        <v>3.99</v>
      </c>
      <c r="N602">
        <v>246</v>
      </c>
      <c r="O602" t="s">
        <v>27</v>
      </c>
      <c r="P602">
        <v>423</v>
      </c>
    </row>
    <row r="603" spans="1:16" x14ac:dyDescent="0.35">
      <c r="A603">
        <v>660</v>
      </c>
      <c r="B603">
        <v>1970</v>
      </c>
      <c r="C603" t="str">
        <f>IF(book_sales[[#This Row],[Publishing Year]]&lt;1900,"Classic (Before 1900)",IF(book_sales[[#This Row],[Publishing Year]]&lt;2000,"20th Century (1900-1999)","21st Century (2000+)"))</f>
        <v>20th Century (1900-1999)</v>
      </c>
      <c r="D603" t="s">
        <v>1177</v>
      </c>
      <c r="E603" t="s">
        <v>1178</v>
      </c>
      <c r="F603" t="s">
        <v>23</v>
      </c>
      <c r="G603" t="s">
        <v>24</v>
      </c>
      <c r="H603">
        <v>3.96</v>
      </c>
      <c r="I603">
        <v>76925</v>
      </c>
      <c r="J603" t="s">
        <v>19</v>
      </c>
      <c r="K603">
        <v>117.81</v>
      </c>
      <c r="L603">
        <v>70.686000000000007</v>
      </c>
      <c r="M603">
        <v>0.99</v>
      </c>
      <c r="N603">
        <v>760</v>
      </c>
      <c r="O603" t="s">
        <v>27</v>
      </c>
      <c r="P603">
        <v>40176</v>
      </c>
    </row>
    <row r="604" spans="1:16" x14ac:dyDescent="0.35">
      <c r="A604">
        <v>236</v>
      </c>
      <c r="B604">
        <v>1999</v>
      </c>
      <c r="C604" t="str">
        <f>IF(book_sales[[#This Row],[Publishing Year]]&lt;1900,"Classic (Before 1900)",IF(book_sales[[#This Row],[Publishing Year]]&lt;2000,"20th Century (1900-1999)","21st Century (2000+)"))</f>
        <v>20th Century (1900-1999)</v>
      </c>
      <c r="D604" t="s">
        <v>455</v>
      </c>
      <c r="E604" t="s">
        <v>456</v>
      </c>
      <c r="F604" t="s">
        <v>17</v>
      </c>
      <c r="G604" t="s">
        <v>24</v>
      </c>
      <c r="H604">
        <v>4.2</v>
      </c>
      <c r="I604">
        <v>111497</v>
      </c>
      <c r="J604" t="s">
        <v>19</v>
      </c>
      <c r="K604">
        <v>1007.5</v>
      </c>
      <c r="L604">
        <v>604.5</v>
      </c>
      <c r="M604">
        <v>2.5</v>
      </c>
      <c r="N604">
        <v>258</v>
      </c>
      <c r="O604" t="s">
        <v>20</v>
      </c>
      <c r="P604">
        <v>403</v>
      </c>
    </row>
    <row r="605" spans="1:16" x14ac:dyDescent="0.35">
      <c r="A605">
        <v>13</v>
      </c>
      <c r="B605">
        <v>1935</v>
      </c>
      <c r="C605" t="str">
        <f>IF(book_sales[[#This Row],[Publishing Year]]&lt;1900,"Classic (Before 1900)",IF(book_sales[[#This Row],[Publishing Year]]&lt;2000,"20th Century (1900-1999)","21st Century (2000+)"))</f>
        <v>20th Century (1900-1999)</v>
      </c>
      <c r="D605" t="s">
        <v>54</v>
      </c>
      <c r="E605" t="s">
        <v>55</v>
      </c>
      <c r="F605" t="s">
        <v>23</v>
      </c>
      <c r="G605" t="s">
        <v>24</v>
      </c>
      <c r="H605">
        <v>4.18</v>
      </c>
      <c r="I605">
        <v>195424</v>
      </c>
      <c r="J605" t="s">
        <v>19</v>
      </c>
      <c r="K605">
        <v>6897.34</v>
      </c>
      <c r="L605">
        <v>4138.4040000000005</v>
      </c>
      <c r="M605">
        <v>1.99</v>
      </c>
      <c r="N605">
        <v>13</v>
      </c>
      <c r="O605" t="s">
        <v>20</v>
      </c>
      <c r="P605">
        <v>3466</v>
      </c>
    </row>
    <row r="606" spans="1:16" x14ac:dyDescent="0.35">
      <c r="A606">
        <v>150</v>
      </c>
      <c r="B606">
        <v>1932</v>
      </c>
      <c r="C606" t="str">
        <f>IF(book_sales[[#This Row],[Publishing Year]]&lt;1900,"Classic (Before 1900)",IF(book_sales[[#This Row],[Publishing Year]]&lt;2000,"20th Century (1900-1999)","21st Century (2000+)"))</f>
        <v>20th Century (1900-1999)</v>
      </c>
      <c r="D606" t="s">
        <v>308</v>
      </c>
      <c r="E606" t="s">
        <v>55</v>
      </c>
      <c r="F606" t="s">
        <v>23</v>
      </c>
      <c r="G606" t="s">
        <v>24</v>
      </c>
      <c r="H606">
        <v>4.16</v>
      </c>
      <c r="I606">
        <v>165127</v>
      </c>
      <c r="J606" t="s">
        <v>19</v>
      </c>
      <c r="K606">
        <v>697.95</v>
      </c>
      <c r="L606">
        <v>418.77</v>
      </c>
      <c r="M606">
        <v>0.99</v>
      </c>
      <c r="N606">
        <v>159</v>
      </c>
      <c r="O606" t="s">
        <v>27</v>
      </c>
      <c r="P606">
        <v>705</v>
      </c>
    </row>
    <row r="607" spans="1:16" x14ac:dyDescent="0.35">
      <c r="A607">
        <v>209</v>
      </c>
      <c r="B607">
        <v>1953</v>
      </c>
      <c r="C607" t="str">
        <f>IF(book_sales[[#This Row],[Publishing Year]]&lt;1900,"Classic (Before 1900)",IF(book_sales[[#This Row],[Publishing Year]]&lt;2000,"20th Century (1900-1999)","21st Century (2000+)"))</f>
        <v>20th Century (1900-1999)</v>
      </c>
      <c r="D607" t="s">
        <v>409</v>
      </c>
      <c r="E607" t="s">
        <v>55</v>
      </c>
      <c r="G607" t="s">
        <v>24</v>
      </c>
      <c r="H607">
        <v>4.33</v>
      </c>
      <c r="I607">
        <v>124320</v>
      </c>
      <c r="J607" t="s">
        <v>19</v>
      </c>
      <c r="K607">
        <v>5195.91</v>
      </c>
      <c r="L607">
        <v>3117.5459999999998</v>
      </c>
      <c r="M607">
        <v>11.47</v>
      </c>
      <c r="N607">
        <v>228</v>
      </c>
      <c r="O607" t="s">
        <v>46</v>
      </c>
      <c r="P607">
        <v>453</v>
      </c>
    </row>
    <row r="608" spans="1:16" x14ac:dyDescent="0.35">
      <c r="A608">
        <v>555</v>
      </c>
      <c r="B608">
        <v>1993</v>
      </c>
      <c r="C608" t="str">
        <f>IF(book_sales[[#This Row],[Publishing Year]]&lt;1900,"Classic (Before 1900)",IF(book_sales[[#This Row],[Publishing Year]]&lt;2000,"20th Century (1900-1999)","21st Century (2000+)"))</f>
        <v>20th Century (1900-1999)</v>
      </c>
      <c r="D608" t="s">
        <v>1006</v>
      </c>
      <c r="E608" t="s">
        <v>1007</v>
      </c>
      <c r="F608" t="s">
        <v>23</v>
      </c>
      <c r="G608" t="s">
        <v>532</v>
      </c>
      <c r="H608">
        <v>4.0199999999999996</v>
      </c>
      <c r="I608">
        <v>104252</v>
      </c>
      <c r="J608" t="s">
        <v>19</v>
      </c>
      <c r="K608">
        <v>442.52</v>
      </c>
      <c r="L608">
        <v>0</v>
      </c>
      <c r="M608">
        <v>2.99</v>
      </c>
      <c r="N608">
        <v>622</v>
      </c>
      <c r="O608" t="s">
        <v>27</v>
      </c>
      <c r="P608">
        <v>3996</v>
      </c>
    </row>
    <row r="609" spans="1:16" x14ac:dyDescent="0.35">
      <c r="A609">
        <v>1022</v>
      </c>
      <c r="B609">
        <v>1995</v>
      </c>
      <c r="C609" t="str">
        <f>IF(book_sales[[#This Row],[Publishing Year]]&lt;1900,"Classic (Before 1900)",IF(book_sales[[#This Row],[Publishing Year]]&lt;2000,"20th Century (1900-1999)","21st Century (2000+)"))</f>
        <v>20th Century (1900-1999)</v>
      </c>
      <c r="D609" t="s">
        <v>1732</v>
      </c>
      <c r="E609" t="s">
        <v>1007</v>
      </c>
      <c r="F609" t="s">
        <v>17</v>
      </c>
      <c r="G609" t="s">
        <v>532</v>
      </c>
      <c r="H609">
        <v>4.16</v>
      </c>
      <c r="I609">
        <v>73883</v>
      </c>
      <c r="J609" t="s">
        <v>30</v>
      </c>
      <c r="K609">
        <v>426.93</v>
      </c>
      <c r="L609">
        <v>256.15800000000002</v>
      </c>
      <c r="M609">
        <v>3.99</v>
      </c>
      <c r="N609">
        <v>1206</v>
      </c>
      <c r="O609" t="s">
        <v>34</v>
      </c>
      <c r="P609">
        <v>107</v>
      </c>
    </row>
    <row r="610" spans="1:16" x14ac:dyDescent="0.35">
      <c r="A610">
        <v>992</v>
      </c>
      <c r="B610">
        <v>2011</v>
      </c>
      <c r="C610" t="str">
        <f>IF(book_sales[[#This Row],[Publishing Year]]&lt;1900,"Classic (Before 1900)",IF(book_sales[[#This Row],[Publishing Year]]&lt;2000,"20th Century (1900-1999)","21st Century (2000+)"))</f>
        <v>21st Century (2000+)</v>
      </c>
      <c r="D610" t="s">
        <v>1686</v>
      </c>
      <c r="E610" t="s">
        <v>1687</v>
      </c>
      <c r="F610" t="s">
        <v>23</v>
      </c>
      <c r="G610" t="s">
        <v>24</v>
      </c>
      <c r="H610">
        <v>3.81</v>
      </c>
      <c r="I610">
        <v>84776</v>
      </c>
      <c r="J610" t="s">
        <v>19</v>
      </c>
      <c r="K610">
        <v>412.56</v>
      </c>
      <c r="L610">
        <v>0</v>
      </c>
      <c r="M610">
        <v>3.82</v>
      </c>
      <c r="N610">
        <v>1169</v>
      </c>
      <c r="O610" t="s">
        <v>27</v>
      </c>
      <c r="P610">
        <v>108</v>
      </c>
    </row>
    <row r="611" spans="1:16" x14ac:dyDescent="0.35">
      <c r="A611">
        <v>689</v>
      </c>
      <c r="B611">
        <v>2015</v>
      </c>
      <c r="C611" t="str">
        <f>IF(book_sales[[#This Row],[Publishing Year]]&lt;1900,"Classic (Before 1900)",IF(book_sales[[#This Row],[Publishing Year]]&lt;2000,"20th Century (1900-1999)","21st Century (2000+)"))</f>
        <v>21st Century (2000+)</v>
      </c>
      <c r="D611" t="s">
        <v>1226</v>
      </c>
      <c r="E611" t="s">
        <v>1227</v>
      </c>
      <c r="F611" t="s">
        <v>23</v>
      </c>
      <c r="G611" t="s">
        <v>24</v>
      </c>
      <c r="H611">
        <v>3.56</v>
      </c>
      <c r="I611">
        <v>66085</v>
      </c>
      <c r="J611" t="s">
        <v>19</v>
      </c>
      <c r="K611">
        <v>862.58</v>
      </c>
      <c r="L611">
        <v>517.548</v>
      </c>
      <c r="M611">
        <v>7.31</v>
      </c>
      <c r="N611">
        <v>792</v>
      </c>
      <c r="O611" t="s">
        <v>20</v>
      </c>
      <c r="P611">
        <v>36504</v>
      </c>
    </row>
    <row r="612" spans="1:16" x14ac:dyDescent="0.35">
      <c r="A612">
        <v>69</v>
      </c>
      <c r="B612">
        <v>2010</v>
      </c>
      <c r="C612" t="str">
        <f>IF(book_sales[[#This Row],[Publishing Year]]&lt;1900,"Classic (Before 1900)",IF(book_sales[[#This Row],[Publishing Year]]&lt;2000,"20th Century (1900-1999)","21st Century (2000+)"))</f>
        <v>21st Century (2000+)</v>
      </c>
      <c r="D612" t="s">
        <v>165</v>
      </c>
      <c r="E612" t="s">
        <v>166</v>
      </c>
      <c r="F612" t="s">
        <v>23</v>
      </c>
      <c r="G612" t="s">
        <v>24</v>
      </c>
      <c r="H612">
        <v>3.89</v>
      </c>
      <c r="I612">
        <v>174393</v>
      </c>
      <c r="J612" t="s">
        <v>19</v>
      </c>
      <c r="K612">
        <v>5705.7</v>
      </c>
      <c r="L612">
        <v>0</v>
      </c>
      <c r="M612">
        <v>3.99</v>
      </c>
      <c r="N612">
        <v>72</v>
      </c>
      <c r="O612" t="s">
        <v>27</v>
      </c>
      <c r="P612">
        <v>1430</v>
      </c>
    </row>
    <row r="613" spans="1:16" x14ac:dyDescent="0.35">
      <c r="A613">
        <v>414</v>
      </c>
      <c r="B613">
        <v>2011</v>
      </c>
      <c r="C613" t="str">
        <f>IF(book_sales[[#This Row],[Publishing Year]]&lt;1900,"Classic (Before 1900)",IF(book_sales[[#This Row],[Publishing Year]]&lt;2000,"20th Century (1900-1999)","21st Century (2000+)"))</f>
        <v>21st Century (2000+)</v>
      </c>
      <c r="D613" t="s">
        <v>776</v>
      </c>
      <c r="E613" t="s">
        <v>166</v>
      </c>
      <c r="F613" t="s">
        <v>23</v>
      </c>
      <c r="G613" t="s">
        <v>24</v>
      </c>
      <c r="H613">
        <v>3.89</v>
      </c>
      <c r="I613">
        <v>119735</v>
      </c>
      <c r="J613" t="s">
        <v>19</v>
      </c>
      <c r="K613">
        <v>790.02</v>
      </c>
      <c r="L613">
        <v>0</v>
      </c>
      <c r="M613">
        <v>3.99</v>
      </c>
      <c r="N613">
        <v>454</v>
      </c>
      <c r="O613" t="s">
        <v>27</v>
      </c>
      <c r="P613">
        <v>5346</v>
      </c>
    </row>
    <row r="614" spans="1:16" x14ac:dyDescent="0.35">
      <c r="A614">
        <v>1028</v>
      </c>
      <c r="B614">
        <v>2012</v>
      </c>
      <c r="C614" t="str">
        <f>IF(book_sales[[#This Row],[Publishing Year]]&lt;1900,"Classic (Before 1900)",IF(book_sales[[#This Row],[Publishing Year]]&lt;2000,"20th Century (1900-1999)","21st Century (2000+)"))</f>
        <v>21st Century (2000+)</v>
      </c>
      <c r="D614" t="s">
        <v>1739</v>
      </c>
      <c r="E614" t="s">
        <v>166</v>
      </c>
      <c r="F614" t="s">
        <v>23</v>
      </c>
      <c r="G614" t="s">
        <v>532</v>
      </c>
      <c r="H614">
        <v>4.03</v>
      </c>
      <c r="I614">
        <v>79360</v>
      </c>
      <c r="J614" t="s">
        <v>41</v>
      </c>
      <c r="K614">
        <v>1282.93</v>
      </c>
      <c r="L614">
        <v>769.75800000000004</v>
      </c>
      <c r="M614">
        <v>11.99</v>
      </c>
      <c r="N614">
        <v>1216</v>
      </c>
      <c r="O614" t="s">
        <v>46</v>
      </c>
      <c r="P614">
        <v>107</v>
      </c>
    </row>
    <row r="615" spans="1:16" x14ac:dyDescent="0.35">
      <c r="A615">
        <v>587</v>
      </c>
      <c r="B615">
        <v>2013</v>
      </c>
      <c r="C615" t="str">
        <f>IF(book_sales[[#This Row],[Publishing Year]]&lt;1900,"Classic (Before 1900)",IF(book_sales[[#This Row],[Publishing Year]]&lt;2000,"20th Century (1900-1999)","21st Century (2000+)"))</f>
        <v>21st Century (2000+)</v>
      </c>
      <c r="D615" t="s">
        <v>1058</v>
      </c>
      <c r="E615" t="s">
        <v>1059</v>
      </c>
      <c r="F615" t="s">
        <v>23</v>
      </c>
      <c r="G615" t="s">
        <v>24</v>
      </c>
      <c r="H615">
        <v>3.74</v>
      </c>
      <c r="I615">
        <v>100593</v>
      </c>
      <c r="J615" t="s">
        <v>19</v>
      </c>
      <c r="K615">
        <v>698.6</v>
      </c>
      <c r="L615">
        <v>0</v>
      </c>
      <c r="M615">
        <v>4.99</v>
      </c>
      <c r="N615">
        <v>659</v>
      </c>
      <c r="O615" t="s">
        <v>27</v>
      </c>
      <c r="P615">
        <v>55080</v>
      </c>
    </row>
    <row r="616" spans="1:16" x14ac:dyDescent="0.35">
      <c r="A616">
        <v>886</v>
      </c>
      <c r="B616">
        <v>2008</v>
      </c>
      <c r="C616" t="str">
        <f>IF(book_sales[[#This Row],[Publishing Year]]&lt;1900,"Classic (Before 1900)",IF(book_sales[[#This Row],[Publishing Year]]&lt;2000,"20th Century (1900-1999)","21st Century (2000+)"))</f>
        <v>21st Century (2000+)</v>
      </c>
      <c r="D616" t="s">
        <v>1522</v>
      </c>
      <c r="E616" t="s">
        <v>1523</v>
      </c>
      <c r="F616" t="s">
        <v>23</v>
      </c>
      <c r="G616" t="s">
        <v>18</v>
      </c>
      <c r="H616">
        <v>3.32</v>
      </c>
      <c r="I616">
        <v>63342</v>
      </c>
      <c r="J616" t="s">
        <v>19</v>
      </c>
      <c r="K616">
        <v>558.88</v>
      </c>
      <c r="L616">
        <v>335.32799999999997</v>
      </c>
      <c r="M616">
        <v>4.99</v>
      </c>
      <c r="N616">
        <v>1042</v>
      </c>
      <c r="O616" t="s">
        <v>46</v>
      </c>
      <c r="P616">
        <v>4440</v>
      </c>
    </row>
    <row r="617" spans="1:16" x14ac:dyDescent="0.35">
      <c r="A617">
        <v>899</v>
      </c>
      <c r="B617">
        <v>2005</v>
      </c>
      <c r="C617" t="str">
        <f>IF(book_sales[[#This Row],[Publishing Year]]&lt;1900,"Classic (Before 1900)",IF(book_sales[[#This Row],[Publishing Year]]&lt;2000,"20th Century (1900-1999)","21st Century (2000+)"))</f>
        <v>21st Century (2000+)</v>
      </c>
      <c r="D617" t="s">
        <v>1538</v>
      </c>
      <c r="E617" t="s">
        <v>1523</v>
      </c>
      <c r="F617" t="s">
        <v>17</v>
      </c>
      <c r="G617" t="s">
        <v>18</v>
      </c>
      <c r="H617">
        <v>3.39</v>
      </c>
      <c r="I617">
        <v>59932</v>
      </c>
      <c r="J617" t="s">
        <v>19</v>
      </c>
      <c r="K617">
        <v>109.89</v>
      </c>
      <c r="L617">
        <v>0</v>
      </c>
      <c r="M617">
        <v>0.99</v>
      </c>
      <c r="N617">
        <v>1055</v>
      </c>
      <c r="O617" t="s">
        <v>27</v>
      </c>
      <c r="P617">
        <v>4400</v>
      </c>
    </row>
    <row r="618" spans="1:16" x14ac:dyDescent="0.35">
      <c r="A618">
        <v>713</v>
      </c>
      <c r="B618">
        <v>2009</v>
      </c>
      <c r="C618" t="str">
        <f>IF(book_sales[[#This Row],[Publishing Year]]&lt;1900,"Classic (Before 1900)",IF(book_sales[[#This Row],[Publishing Year]]&lt;2000,"20th Century (1900-1999)","21st Century (2000+)"))</f>
        <v>21st Century (2000+)</v>
      </c>
      <c r="D618" t="s">
        <v>1261</v>
      </c>
      <c r="E618" t="s">
        <v>1262</v>
      </c>
      <c r="F618" t="s">
        <v>23</v>
      </c>
      <c r="G618" t="s">
        <v>24</v>
      </c>
      <c r="H618">
        <v>3.98</v>
      </c>
      <c r="I618">
        <v>87665</v>
      </c>
      <c r="J618" t="s">
        <v>19</v>
      </c>
      <c r="K618">
        <v>352.82</v>
      </c>
      <c r="L618">
        <v>0</v>
      </c>
      <c r="M618">
        <v>2.99</v>
      </c>
      <c r="N618">
        <v>819</v>
      </c>
      <c r="O618" t="s">
        <v>27</v>
      </c>
      <c r="P618">
        <v>34992</v>
      </c>
    </row>
    <row r="619" spans="1:16" x14ac:dyDescent="0.35">
      <c r="A619">
        <v>793</v>
      </c>
      <c r="B619">
        <v>2000</v>
      </c>
      <c r="C619" t="str">
        <f>IF(book_sales[[#This Row],[Publishing Year]]&lt;1900,"Classic (Before 1900)",IF(book_sales[[#This Row],[Publishing Year]]&lt;2000,"20th Century (1900-1999)","21st Century (2000+)"))</f>
        <v>21st Century (2000+)</v>
      </c>
      <c r="D619" t="s">
        <v>1392</v>
      </c>
      <c r="E619" t="s">
        <v>1262</v>
      </c>
      <c r="F619" t="s">
        <v>17</v>
      </c>
      <c r="G619" t="s">
        <v>24</v>
      </c>
      <c r="H619">
        <v>3.89</v>
      </c>
      <c r="I619">
        <v>81945</v>
      </c>
      <c r="J619" t="s">
        <v>19</v>
      </c>
      <c r="K619">
        <v>458.85</v>
      </c>
      <c r="L619">
        <v>0</v>
      </c>
      <c r="M619">
        <v>3.99</v>
      </c>
      <c r="N619">
        <v>918</v>
      </c>
      <c r="O619" t="s">
        <v>27</v>
      </c>
      <c r="P619">
        <v>2916</v>
      </c>
    </row>
    <row r="620" spans="1:16" x14ac:dyDescent="0.35">
      <c r="A620">
        <v>827</v>
      </c>
      <c r="B620">
        <v>2005</v>
      </c>
      <c r="C620" t="str">
        <f>IF(book_sales[[#This Row],[Publishing Year]]&lt;1900,"Classic (Before 1900)",IF(book_sales[[#This Row],[Publishing Year]]&lt;2000,"20th Century (1900-1999)","21st Century (2000+)"))</f>
        <v>21st Century (2000+)</v>
      </c>
      <c r="D620" t="s">
        <v>1437</v>
      </c>
      <c r="E620" t="s">
        <v>1438</v>
      </c>
      <c r="F620" t="s">
        <v>23</v>
      </c>
      <c r="G620" t="s">
        <v>532</v>
      </c>
      <c r="H620">
        <v>4.2</v>
      </c>
      <c r="I620">
        <v>63335</v>
      </c>
      <c r="J620" t="s">
        <v>19</v>
      </c>
      <c r="K620">
        <v>340.86</v>
      </c>
      <c r="L620">
        <v>204.51599999999999</v>
      </c>
      <c r="M620">
        <v>2.99</v>
      </c>
      <c r="N620">
        <v>968</v>
      </c>
      <c r="O620" t="s">
        <v>66</v>
      </c>
      <c r="P620">
        <v>2889</v>
      </c>
    </row>
    <row r="621" spans="1:16" x14ac:dyDescent="0.35">
      <c r="A621">
        <v>893</v>
      </c>
      <c r="B621">
        <v>1998</v>
      </c>
      <c r="C621" t="str">
        <f>IF(book_sales[[#This Row],[Publishing Year]]&lt;1900,"Classic (Before 1900)",IF(book_sales[[#This Row],[Publishing Year]]&lt;2000,"20th Century (1900-1999)","21st Century (2000+)"))</f>
        <v>20th Century (1900-1999)</v>
      </c>
      <c r="D621" t="s">
        <v>1532</v>
      </c>
      <c r="E621" t="s">
        <v>1438</v>
      </c>
      <c r="F621" t="s">
        <v>17</v>
      </c>
      <c r="G621" t="s">
        <v>24</v>
      </c>
      <c r="H621">
        <v>4</v>
      </c>
      <c r="I621">
        <v>62128</v>
      </c>
      <c r="J621" t="s">
        <v>19</v>
      </c>
      <c r="K621">
        <v>334.88</v>
      </c>
      <c r="L621">
        <v>200.928</v>
      </c>
      <c r="M621">
        <v>2.99</v>
      </c>
      <c r="N621">
        <v>1050</v>
      </c>
      <c r="O621" t="s">
        <v>133</v>
      </c>
      <c r="P621">
        <v>4400</v>
      </c>
    </row>
    <row r="622" spans="1:16" x14ac:dyDescent="0.35">
      <c r="A622">
        <v>1069</v>
      </c>
      <c r="B622">
        <v>1999</v>
      </c>
      <c r="C622" t="str">
        <f>IF(book_sales[[#This Row],[Publishing Year]]&lt;1900,"Classic (Before 1900)",IF(book_sales[[#This Row],[Publishing Year]]&lt;2000,"20th Century (1900-1999)","21st Century (2000+)"))</f>
        <v>20th Century (1900-1999)</v>
      </c>
      <c r="D622" t="s">
        <v>1805</v>
      </c>
      <c r="E622" t="s">
        <v>1438</v>
      </c>
      <c r="F622" t="s">
        <v>23</v>
      </c>
      <c r="G622" t="s">
        <v>532</v>
      </c>
      <c r="H622">
        <v>4.07</v>
      </c>
      <c r="I622">
        <v>55251</v>
      </c>
      <c r="J622" t="s">
        <v>19</v>
      </c>
      <c r="K622">
        <v>316.94</v>
      </c>
      <c r="L622">
        <v>0</v>
      </c>
      <c r="M622">
        <v>2.99</v>
      </c>
      <c r="N622">
        <v>1273</v>
      </c>
      <c r="O622" t="s">
        <v>27</v>
      </c>
      <c r="P622">
        <v>106</v>
      </c>
    </row>
    <row r="623" spans="1:16" x14ac:dyDescent="0.35">
      <c r="A623">
        <v>746</v>
      </c>
      <c r="B623">
        <v>1988</v>
      </c>
      <c r="C623" t="str">
        <f>IF(book_sales[[#This Row],[Publishing Year]]&lt;1900,"Classic (Before 1900)",IF(book_sales[[#This Row],[Publishing Year]]&lt;2000,"20th Century (1900-1999)","21st Century (2000+)"))</f>
        <v>20th Century (1900-1999)</v>
      </c>
      <c r="D623" t="s">
        <v>1312</v>
      </c>
      <c r="E623" t="s">
        <v>1313</v>
      </c>
      <c r="G623" t="s">
        <v>532</v>
      </c>
      <c r="H623">
        <v>4.0999999999999996</v>
      </c>
      <c r="I623">
        <v>67128</v>
      </c>
      <c r="J623" t="s">
        <v>19</v>
      </c>
      <c r="K623">
        <v>799.11</v>
      </c>
      <c r="L623">
        <v>479.46600000000001</v>
      </c>
      <c r="M623">
        <v>6.83</v>
      </c>
      <c r="N623">
        <v>859</v>
      </c>
      <c r="O623" t="s">
        <v>133</v>
      </c>
      <c r="P623">
        <v>31752</v>
      </c>
    </row>
    <row r="624" spans="1:16" x14ac:dyDescent="0.35">
      <c r="A624">
        <v>469</v>
      </c>
      <c r="B624">
        <v>2012</v>
      </c>
      <c r="C624" t="str">
        <f>IF(book_sales[[#This Row],[Publishing Year]]&lt;1900,"Classic (Before 1900)",IF(book_sales[[#This Row],[Publishing Year]]&lt;2000,"20th Century (1900-1999)","21st Century (2000+)"))</f>
        <v>21st Century (2000+)</v>
      </c>
      <c r="D624" t="s">
        <v>865</v>
      </c>
      <c r="E624" t="s">
        <v>866</v>
      </c>
      <c r="F624" t="s">
        <v>23</v>
      </c>
      <c r="G624" t="s">
        <v>532</v>
      </c>
      <c r="H624">
        <v>4.05</v>
      </c>
      <c r="I624">
        <v>135225</v>
      </c>
      <c r="J624" t="s">
        <v>30</v>
      </c>
      <c r="K624">
        <v>678.3</v>
      </c>
      <c r="L624">
        <v>0</v>
      </c>
      <c r="M624">
        <v>3.99</v>
      </c>
      <c r="N624">
        <v>519</v>
      </c>
      <c r="O624" t="s">
        <v>27</v>
      </c>
      <c r="P624">
        <v>4590</v>
      </c>
    </row>
    <row r="625" spans="1:16" x14ac:dyDescent="0.35">
      <c r="A625">
        <v>342</v>
      </c>
      <c r="B625">
        <v>1999</v>
      </c>
      <c r="C625" t="str">
        <f>IF(book_sales[[#This Row],[Publishing Year]]&lt;1900,"Classic (Before 1900)",IF(book_sales[[#This Row],[Publishing Year]]&lt;2000,"20th Century (1900-1999)","21st Century (2000+)"))</f>
        <v>20th Century (1900-1999)</v>
      </c>
      <c r="D625" t="s">
        <v>647</v>
      </c>
      <c r="E625" t="s">
        <v>648</v>
      </c>
      <c r="F625" t="s">
        <v>23</v>
      </c>
      <c r="G625" t="s">
        <v>24</v>
      </c>
      <c r="H625">
        <v>3.95</v>
      </c>
      <c r="I625">
        <v>130213</v>
      </c>
      <c r="J625" t="s">
        <v>19</v>
      </c>
      <c r="K625">
        <v>1202.5899999999999</v>
      </c>
      <c r="L625">
        <v>721.55399999999997</v>
      </c>
      <c r="M625">
        <v>4.99</v>
      </c>
      <c r="N625">
        <v>367</v>
      </c>
      <c r="O625" t="s">
        <v>66</v>
      </c>
      <c r="P625">
        <v>241</v>
      </c>
    </row>
    <row r="626" spans="1:16" x14ac:dyDescent="0.35">
      <c r="A626">
        <v>502</v>
      </c>
      <c r="B626">
        <v>2000</v>
      </c>
      <c r="C626" t="str">
        <f>IF(book_sales[[#This Row],[Publishing Year]]&lt;1900,"Classic (Before 1900)",IF(book_sales[[#This Row],[Publishing Year]]&lt;2000,"20th Century (1900-1999)","21st Century (2000+)"))</f>
        <v>21st Century (2000+)</v>
      </c>
      <c r="D626" t="s">
        <v>918</v>
      </c>
      <c r="E626" t="s">
        <v>648</v>
      </c>
      <c r="F626" t="s">
        <v>23</v>
      </c>
      <c r="G626" t="s">
        <v>24</v>
      </c>
      <c r="H626">
        <v>3.91</v>
      </c>
      <c r="I626">
        <v>118624</v>
      </c>
      <c r="J626" t="s">
        <v>19</v>
      </c>
      <c r="K626">
        <v>161.37</v>
      </c>
      <c r="L626">
        <v>96.822000000000003</v>
      </c>
      <c r="M626">
        <v>0.99</v>
      </c>
      <c r="N626">
        <v>554</v>
      </c>
      <c r="O626" t="s">
        <v>27</v>
      </c>
      <c r="P626">
        <v>4401</v>
      </c>
    </row>
    <row r="627" spans="1:16" x14ac:dyDescent="0.35">
      <c r="A627">
        <v>632</v>
      </c>
      <c r="B627">
        <v>2000</v>
      </c>
      <c r="C627" t="str">
        <f>IF(book_sales[[#This Row],[Publishing Year]]&lt;1900,"Classic (Before 1900)",IF(book_sales[[#This Row],[Publishing Year]]&lt;2000,"20th Century (1900-1999)","21st Century (2000+)"))</f>
        <v>21st Century (2000+)</v>
      </c>
      <c r="D627" t="s">
        <v>1130</v>
      </c>
      <c r="E627" t="s">
        <v>648</v>
      </c>
      <c r="F627" t="s">
        <v>17</v>
      </c>
      <c r="G627" t="s">
        <v>24</v>
      </c>
      <c r="H627">
        <v>3.83</v>
      </c>
      <c r="I627">
        <v>101325</v>
      </c>
      <c r="J627" t="s">
        <v>19</v>
      </c>
      <c r="K627">
        <v>1395.73</v>
      </c>
      <c r="L627">
        <v>837.43799999999999</v>
      </c>
      <c r="M627">
        <v>10.99</v>
      </c>
      <c r="N627">
        <v>716</v>
      </c>
      <c r="O627" t="s">
        <v>34</v>
      </c>
      <c r="P627">
        <v>46872</v>
      </c>
    </row>
    <row r="628" spans="1:16" x14ac:dyDescent="0.35">
      <c r="A628">
        <v>694</v>
      </c>
      <c r="B628">
        <v>2000</v>
      </c>
      <c r="C628" t="str">
        <f>IF(book_sales[[#This Row],[Publishing Year]]&lt;1900,"Classic (Before 1900)",IF(book_sales[[#This Row],[Publishing Year]]&lt;2000,"20th Century (1900-1999)","21st Century (2000+)"))</f>
        <v>21st Century (2000+)</v>
      </c>
      <c r="D628" t="s">
        <v>1234</v>
      </c>
      <c r="E628" t="s">
        <v>648</v>
      </c>
      <c r="F628" t="s">
        <v>23</v>
      </c>
      <c r="G628" t="s">
        <v>24</v>
      </c>
      <c r="H628">
        <v>3.97</v>
      </c>
      <c r="I628">
        <v>99311</v>
      </c>
      <c r="J628" t="s">
        <v>19</v>
      </c>
      <c r="K628">
        <v>116.82</v>
      </c>
      <c r="L628">
        <v>0</v>
      </c>
      <c r="M628">
        <v>0.99</v>
      </c>
      <c r="N628">
        <v>799</v>
      </c>
      <c r="O628" t="s">
        <v>27</v>
      </c>
      <c r="P628">
        <v>36288</v>
      </c>
    </row>
    <row r="629" spans="1:16" x14ac:dyDescent="0.35">
      <c r="A629">
        <v>702</v>
      </c>
      <c r="B629">
        <v>2001</v>
      </c>
      <c r="C629" t="str">
        <f>IF(book_sales[[#This Row],[Publishing Year]]&lt;1900,"Classic (Before 1900)",IF(book_sales[[#This Row],[Publishing Year]]&lt;2000,"20th Century (1900-1999)","21st Century (2000+)"))</f>
        <v>21st Century (2000+)</v>
      </c>
      <c r="D629" t="s">
        <v>1244</v>
      </c>
      <c r="E629" t="s">
        <v>648</v>
      </c>
      <c r="F629" t="s">
        <v>23</v>
      </c>
      <c r="G629" t="s">
        <v>24</v>
      </c>
      <c r="H629">
        <v>3.94</v>
      </c>
      <c r="I629">
        <v>89733</v>
      </c>
      <c r="J629" t="s">
        <v>19</v>
      </c>
      <c r="K629">
        <v>706.82</v>
      </c>
      <c r="L629">
        <v>424.09199999999998</v>
      </c>
      <c r="M629">
        <v>5.99</v>
      </c>
      <c r="N629">
        <v>808</v>
      </c>
      <c r="O629" t="s">
        <v>34</v>
      </c>
      <c r="P629">
        <v>35640</v>
      </c>
    </row>
    <row r="630" spans="1:16" x14ac:dyDescent="0.35">
      <c r="A630">
        <v>758</v>
      </c>
      <c r="B630">
        <v>2001</v>
      </c>
      <c r="C630" t="str">
        <f>IF(book_sales[[#This Row],[Publishing Year]]&lt;1900,"Classic (Before 1900)",IF(book_sales[[#This Row],[Publishing Year]]&lt;2000,"20th Century (1900-1999)","21st Century (2000+)"))</f>
        <v>21st Century (2000+)</v>
      </c>
      <c r="D630" t="s">
        <v>1333</v>
      </c>
      <c r="E630" t="s">
        <v>648</v>
      </c>
      <c r="F630" t="s">
        <v>23</v>
      </c>
      <c r="G630" t="s">
        <v>532</v>
      </c>
      <c r="H630">
        <v>4.01</v>
      </c>
      <c r="I630">
        <v>90071</v>
      </c>
      <c r="J630" t="s">
        <v>41</v>
      </c>
      <c r="K630">
        <v>230.84</v>
      </c>
      <c r="L630">
        <v>138.50399999999999</v>
      </c>
      <c r="M630">
        <v>1.99</v>
      </c>
      <c r="N630">
        <v>873</v>
      </c>
      <c r="O630" t="s">
        <v>46</v>
      </c>
      <c r="P630">
        <v>31104</v>
      </c>
    </row>
    <row r="631" spans="1:16" x14ac:dyDescent="0.35">
      <c r="A631">
        <v>945</v>
      </c>
      <c r="B631">
        <v>2003</v>
      </c>
      <c r="C631" t="str">
        <f>IF(book_sales[[#This Row],[Publishing Year]]&lt;1900,"Classic (Before 1900)",IF(book_sales[[#This Row],[Publishing Year]]&lt;2000,"20th Century (1900-1999)","21st Century (2000+)"))</f>
        <v>21st Century (2000+)</v>
      </c>
      <c r="D631" t="s">
        <v>1614</v>
      </c>
      <c r="E631" t="s">
        <v>648</v>
      </c>
      <c r="F631" t="s">
        <v>17</v>
      </c>
      <c r="G631" t="s">
        <v>24</v>
      </c>
      <c r="H631">
        <v>4</v>
      </c>
      <c r="I631">
        <v>81362</v>
      </c>
      <c r="J631" t="s">
        <v>19</v>
      </c>
      <c r="K631">
        <v>988.9</v>
      </c>
      <c r="L631">
        <v>593.34</v>
      </c>
      <c r="M631">
        <v>8.99</v>
      </c>
      <c r="N631">
        <v>1111</v>
      </c>
      <c r="O631" t="s">
        <v>34</v>
      </c>
      <c r="P631">
        <v>4320</v>
      </c>
    </row>
    <row r="632" spans="1:16" x14ac:dyDescent="0.35">
      <c r="A632">
        <v>1018</v>
      </c>
      <c r="B632">
        <v>2002</v>
      </c>
      <c r="C632" t="str">
        <f>IF(book_sales[[#This Row],[Publishing Year]]&lt;1900,"Classic (Before 1900)",IF(book_sales[[#This Row],[Publishing Year]]&lt;2000,"20th Century (1900-1999)","21st Century (2000+)"))</f>
        <v>21st Century (2000+)</v>
      </c>
      <c r="D632" t="s">
        <v>1726</v>
      </c>
      <c r="E632" t="s">
        <v>648</v>
      </c>
      <c r="F632" t="s">
        <v>17</v>
      </c>
      <c r="G632" t="s">
        <v>24</v>
      </c>
      <c r="H632">
        <v>3.97</v>
      </c>
      <c r="I632">
        <v>83981</v>
      </c>
      <c r="J632" t="s">
        <v>19</v>
      </c>
      <c r="K632">
        <v>105.93</v>
      </c>
      <c r="L632">
        <v>0</v>
      </c>
      <c r="M632">
        <v>0.99</v>
      </c>
      <c r="N632">
        <v>1201</v>
      </c>
      <c r="O632" t="s">
        <v>27</v>
      </c>
      <c r="P632">
        <v>107</v>
      </c>
    </row>
    <row r="633" spans="1:16" x14ac:dyDescent="0.35">
      <c r="A633">
        <v>400</v>
      </c>
      <c r="B633">
        <v>2014</v>
      </c>
      <c r="C633" t="str">
        <f>IF(book_sales[[#This Row],[Publishing Year]]&lt;1900,"Classic (Before 1900)",IF(book_sales[[#This Row],[Publishing Year]]&lt;2000,"20th Century (1900-1999)","21st Century (2000+)"))</f>
        <v>21st Century (2000+)</v>
      </c>
      <c r="D633" t="s">
        <v>751</v>
      </c>
      <c r="E633" t="s">
        <v>752</v>
      </c>
      <c r="F633" t="s">
        <v>23</v>
      </c>
      <c r="G633" t="s">
        <v>18</v>
      </c>
      <c r="H633">
        <v>3.33</v>
      </c>
      <c r="I633">
        <v>88251</v>
      </c>
      <c r="J633" t="s">
        <v>41</v>
      </c>
      <c r="K633">
        <v>1245.92</v>
      </c>
      <c r="L633">
        <v>747.55200000000002</v>
      </c>
      <c r="M633">
        <v>5.99</v>
      </c>
      <c r="N633">
        <v>434</v>
      </c>
      <c r="O633" t="s">
        <v>46</v>
      </c>
      <c r="P633">
        <v>5616</v>
      </c>
    </row>
    <row r="634" spans="1:16" x14ac:dyDescent="0.35">
      <c r="A634">
        <v>627</v>
      </c>
      <c r="B634">
        <v>1958</v>
      </c>
      <c r="C634" t="str">
        <f>IF(book_sales[[#This Row],[Publishing Year]]&lt;1900,"Classic (Before 1900)",IF(book_sales[[#This Row],[Publishing Year]]&lt;2000,"20th Century (1900-1999)","21st Century (2000+)"))</f>
        <v>20th Century (1900-1999)</v>
      </c>
      <c r="D634" t="s">
        <v>1121</v>
      </c>
      <c r="E634" t="s">
        <v>1122</v>
      </c>
      <c r="F634" t="s">
        <v>23</v>
      </c>
      <c r="G634" t="s">
        <v>532</v>
      </c>
      <c r="H634">
        <v>4.33</v>
      </c>
      <c r="I634">
        <v>77258</v>
      </c>
      <c r="J634" t="s">
        <v>19</v>
      </c>
      <c r="K634">
        <v>1470.72</v>
      </c>
      <c r="L634">
        <v>882.43200000000002</v>
      </c>
      <c r="M634">
        <v>11.49</v>
      </c>
      <c r="N634">
        <v>711</v>
      </c>
      <c r="O634" t="s">
        <v>46</v>
      </c>
      <c r="P634">
        <v>47304</v>
      </c>
    </row>
    <row r="635" spans="1:16" x14ac:dyDescent="0.35">
      <c r="A635">
        <v>53</v>
      </c>
      <c r="B635">
        <v>2009</v>
      </c>
      <c r="C635" t="str">
        <f>IF(book_sales[[#This Row],[Publishing Year]]&lt;1900,"Classic (Before 1900)",IF(book_sales[[#This Row],[Publishing Year]]&lt;2000,"20th Century (1900-1999)","21st Century (2000+)"))</f>
        <v>21st Century (2000+)</v>
      </c>
      <c r="D635" t="s">
        <v>131</v>
      </c>
      <c r="E635" t="s">
        <v>132</v>
      </c>
      <c r="F635" t="s">
        <v>23</v>
      </c>
      <c r="G635" t="s">
        <v>18</v>
      </c>
      <c r="H635">
        <v>3.47</v>
      </c>
      <c r="I635">
        <v>147908</v>
      </c>
      <c r="J635" t="s">
        <v>19</v>
      </c>
      <c r="K635">
        <v>1675.08</v>
      </c>
      <c r="L635">
        <v>1005.048</v>
      </c>
      <c r="M635">
        <v>0.99</v>
      </c>
      <c r="N635">
        <v>55</v>
      </c>
      <c r="O635" t="s">
        <v>133</v>
      </c>
      <c r="P635">
        <v>1692</v>
      </c>
    </row>
    <row r="636" spans="1:16" x14ac:dyDescent="0.35">
      <c r="A636">
        <v>955</v>
      </c>
      <c r="B636">
        <v>1871</v>
      </c>
      <c r="C636" t="str">
        <f>IF(book_sales[[#This Row],[Publishing Year]]&lt;1900,"Classic (Before 1900)",IF(book_sales[[#This Row],[Publishing Year]]&lt;2000,"20th Century (1900-1999)","21st Century (2000+)"))</f>
        <v>Classic (Before 1900)</v>
      </c>
      <c r="D636" t="s">
        <v>1630</v>
      </c>
      <c r="E636" t="s">
        <v>1631</v>
      </c>
      <c r="F636" t="s">
        <v>23</v>
      </c>
      <c r="G636" t="s">
        <v>532</v>
      </c>
      <c r="H636">
        <v>4.0599999999999996</v>
      </c>
      <c r="I636">
        <v>63050</v>
      </c>
      <c r="J636" t="s">
        <v>30</v>
      </c>
      <c r="K636">
        <v>216.91</v>
      </c>
      <c r="L636">
        <v>130.14599999999999</v>
      </c>
      <c r="M636">
        <v>1.99</v>
      </c>
      <c r="N636">
        <v>1128</v>
      </c>
      <c r="O636" t="s">
        <v>66</v>
      </c>
      <c r="P636">
        <v>4280</v>
      </c>
    </row>
    <row r="637" spans="1:16" x14ac:dyDescent="0.35">
      <c r="A637">
        <v>497</v>
      </c>
      <c r="B637">
        <v>2016</v>
      </c>
      <c r="C637" t="str">
        <f>IF(book_sales[[#This Row],[Publishing Year]]&lt;1900,"Classic (Before 1900)",IF(book_sales[[#This Row],[Publishing Year]]&lt;2000,"20th Century (1900-1999)","21st Century (2000+)"))</f>
        <v>21st Century (2000+)</v>
      </c>
      <c r="D637" t="s">
        <v>908</v>
      </c>
      <c r="E637" t="s">
        <v>909</v>
      </c>
      <c r="F637" t="s">
        <v>23</v>
      </c>
      <c r="G637" t="s">
        <v>24</v>
      </c>
      <c r="H637">
        <v>3.55</v>
      </c>
      <c r="I637">
        <v>90477</v>
      </c>
      <c r="J637" t="s">
        <v>19</v>
      </c>
      <c r="K637">
        <v>162.36000000000001</v>
      </c>
      <c r="L637">
        <v>0</v>
      </c>
      <c r="M637">
        <v>0.99</v>
      </c>
      <c r="N637">
        <v>549</v>
      </c>
      <c r="O637" t="s">
        <v>27</v>
      </c>
      <c r="P637">
        <v>4428</v>
      </c>
    </row>
    <row r="638" spans="1:16" x14ac:dyDescent="0.35">
      <c r="A638">
        <v>55</v>
      </c>
      <c r="B638">
        <v>2003</v>
      </c>
      <c r="C638" t="str">
        <f>IF(book_sales[[#This Row],[Publishing Year]]&lt;1900,"Classic (Before 1900)",IF(book_sales[[#This Row],[Publishing Year]]&lt;2000,"20th Century (1900-1999)","21st Century (2000+)"))</f>
        <v>21st Century (2000+)</v>
      </c>
      <c r="D638" t="s">
        <v>136</v>
      </c>
      <c r="E638" t="s">
        <v>137</v>
      </c>
      <c r="F638" t="s">
        <v>23</v>
      </c>
      <c r="G638" t="s">
        <v>24</v>
      </c>
      <c r="H638">
        <v>3.79</v>
      </c>
      <c r="I638">
        <v>173613</v>
      </c>
      <c r="J638" t="s">
        <v>19</v>
      </c>
      <c r="K638">
        <v>4966.3900000000003</v>
      </c>
      <c r="L638">
        <v>2979.8339999999998</v>
      </c>
      <c r="M638">
        <v>2.99</v>
      </c>
      <c r="N638">
        <v>57</v>
      </c>
      <c r="O638" t="s">
        <v>34</v>
      </c>
      <c r="P638">
        <v>1661</v>
      </c>
    </row>
    <row r="639" spans="1:16" x14ac:dyDescent="0.35">
      <c r="A639">
        <v>365</v>
      </c>
      <c r="B639">
        <v>2003</v>
      </c>
      <c r="C639" t="str">
        <f>IF(book_sales[[#This Row],[Publishing Year]]&lt;1900,"Classic (Before 1900)",IF(book_sales[[#This Row],[Publishing Year]]&lt;2000,"20th Century (1900-1999)","21st Century (2000+)"))</f>
        <v>21st Century (2000+)</v>
      </c>
      <c r="D639" t="s">
        <v>686</v>
      </c>
      <c r="E639" t="s">
        <v>687</v>
      </c>
      <c r="F639" t="s">
        <v>23</v>
      </c>
      <c r="G639" t="s">
        <v>532</v>
      </c>
      <c r="H639">
        <v>4.07</v>
      </c>
      <c r="I639">
        <v>101343</v>
      </c>
      <c r="J639" t="s">
        <v>19</v>
      </c>
      <c r="K639">
        <v>5902.92</v>
      </c>
      <c r="L639">
        <v>3541.752</v>
      </c>
      <c r="M639">
        <v>25.89</v>
      </c>
      <c r="N639">
        <v>393</v>
      </c>
      <c r="O639" t="s">
        <v>20</v>
      </c>
      <c r="P639">
        <v>6156</v>
      </c>
    </row>
    <row r="640" spans="1:16" x14ac:dyDescent="0.35">
      <c r="A640">
        <v>294</v>
      </c>
      <c r="B640">
        <v>2009</v>
      </c>
      <c r="C640" t="str">
        <f>IF(book_sales[[#This Row],[Publishing Year]]&lt;1900,"Classic (Before 1900)",IF(book_sales[[#This Row],[Publishing Year]]&lt;2000,"20th Century (1900-1999)","21st Century (2000+)"))</f>
        <v>21st Century (2000+)</v>
      </c>
      <c r="D640" t="s">
        <v>559</v>
      </c>
      <c r="E640" t="s">
        <v>560</v>
      </c>
      <c r="F640" t="s">
        <v>23</v>
      </c>
      <c r="G640" t="s">
        <v>24</v>
      </c>
      <c r="H640">
        <v>3.87</v>
      </c>
      <c r="I640">
        <v>106729</v>
      </c>
      <c r="J640" t="s">
        <v>41</v>
      </c>
      <c r="K640">
        <v>2152.92</v>
      </c>
      <c r="L640">
        <v>1291.752</v>
      </c>
      <c r="M640">
        <v>6.99</v>
      </c>
      <c r="N640">
        <v>315</v>
      </c>
      <c r="O640" t="s">
        <v>34</v>
      </c>
      <c r="P640">
        <v>308</v>
      </c>
    </row>
    <row r="641" spans="1:16" x14ac:dyDescent="0.35">
      <c r="A641">
        <v>325</v>
      </c>
      <c r="B641">
        <v>2000</v>
      </c>
      <c r="C641" t="str">
        <f>IF(book_sales[[#This Row],[Publishing Year]]&lt;1900,"Classic (Before 1900)",IF(book_sales[[#This Row],[Publishing Year]]&lt;2000,"20th Century (1900-1999)","21st Century (2000+)"))</f>
        <v>21st Century (2000+)</v>
      </c>
      <c r="D641" t="s">
        <v>616</v>
      </c>
      <c r="E641" t="s">
        <v>617</v>
      </c>
      <c r="F641" t="s">
        <v>23</v>
      </c>
      <c r="G641" t="s">
        <v>24</v>
      </c>
      <c r="H641">
        <v>3.8</v>
      </c>
      <c r="I641">
        <v>114917</v>
      </c>
      <c r="J641" t="s">
        <v>19</v>
      </c>
      <c r="K641">
        <v>997.5</v>
      </c>
      <c r="L641">
        <v>0</v>
      </c>
      <c r="M641">
        <v>3.99</v>
      </c>
      <c r="N641">
        <v>350</v>
      </c>
      <c r="O641" t="s">
        <v>27</v>
      </c>
      <c r="P641">
        <v>250</v>
      </c>
    </row>
    <row r="642" spans="1:16" x14ac:dyDescent="0.35">
      <c r="A642">
        <v>759</v>
      </c>
      <c r="B642">
        <v>2004</v>
      </c>
      <c r="C642" t="str">
        <f>IF(book_sales[[#This Row],[Publishing Year]]&lt;1900,"Classic (Before 1900)",IF(book_sales[[#This Row],[Publishing Year]]&lt;2000,"20th Century (1900-1999)","21st Century (2000+)"))</f>
        <v>21st Century (2000+)</v>
      </c>
      <c r="D642" t="s">
        <v>1334</v>
      </c>
      <c r="E642" t="s">
        <v>617</v>
      </c>
      <c r="F642" t="s">
        <v>23</v>
      </c>
      <c r="G642" t="s">
        <v>24</v>
      </c>
      <c r="H642">
        <v>3.9</v>
      </c>
      <c r="I642">
        <v>79746</v>
      </c>
      <c r="J642" t="s">
        <v>19</v>
      </c>
      <c r="K642">
        <v>462.84</v>
      </c>
      <c r="L642">
        <v>277.70400000000001</v>
      </c>
      <c r="M642">
        <v>3.99</v>
      </c>
      <c r="N642">
        <v>877</v>
      </c>
      <c r="O642" t="s">
        <v>27</v>
      </c>
      <c r="P642">
        <v>30888</v>
      </c>
    </row>
    <row r="643" spans="1:16" x14ac:dyDescent="0.35">
      <c r="A643">
        <v>927</v>
      </c>
      <c r="B643">
        <v>1994</v>
      </c>
      <c r="C643" t="str">
        <f>IF(book_sales[[#This Row],[Publishing Year]]&lt;1900,"Classic (Before 1900)",IF(book_sales[[#This Row],[Publishing Year]]&lt;2000,"20th Century (1900-1999)","21st Century (2000+)"))</f>
        <v>20th Century (1900-1999)</v>
      </c>
      <c r="D643" t="s">
        <v>1584</v>
      </c>
      <c r="E643" t="s">
        <v>1585</v>
      </c>
      <c r="F643" t="s">
        <v>23</v>
      </c>
      <c r="G643" t="s">
        <v>24</v>
      </c>
      <c r="H643">
        <v>3.95</v>
      </c>
      <c r="I643">
        <v>57583</v>
      </c>
      <c r="J643" t="s">
        <v>19</v>
      </c>
      <c r="K643">
        <v>108.9</v>
      </c>
      <c r="L643">
        <v>65.34</v>
      </c>
      <c r="M643">
        <v>0.99</v>
      </c>
      <c r="N643">
        <v>1091</v>
      </c>
      <c r="O643" t="s">
        <v>27</v>
      </c>
      <c r="P643">
        <v>4360</v>
      </c>
    </row>
    <row r="644" spans="1:16" x14ac:dyDescent="0.35">
      <c r="A644">
        <v>664</v>
      </c>
      <c r="B644">
        <v>2012</v>
      </c>
      <c r="C644" t="str">
        <f>IF(book_sales[[#This Row],[Publishing Year]]&lt;1900,"Classic (Before 1900)",IF(book_sales[[#This Row],[Publishing Year]]&lt;2000,"20th Century (1900-1999)","21st Century (2000+)"))</f>
        <v>21st Century (2000+)</v>
      </c>
      <c r="D644" t="s">
        <v>1184</v>
      </c>
      <c r="E644" t="s">
        <v>1185</v>
      </c>
      <c r="F644" t="s">
        <v>23</v>
      </c>
      <c r="G644" t="s">
        <v>24</v>
      </c>
      <c r="H644">
        <v>3.91</v>
      </c>
      <c r="I644">
        <v>67928</v>
      </c>
      <c r="J644" t="s">
        <v>19</v>
      </c>
      <c r="K644">
        <v>355.81</v>
      </c>
      <c r="L644">
        <v>0</v>
      </c>
      <c r="M644">
        <v>2.99</v>
      </c>
      <c r="N644">
        <v>764</v>
      </c>
      <c r="O644" t="s">
        <v>27</v>
      </c>
      <c r="P644">
        <v>39312</v>
      </c>
    </row>
    <row r="645" spans="1:16" x14ac:dyDescent="0.35">
      <c r="A645">
        <v>318</v>
      </c>
      <c r="B645">
        <v>1999</v>
      </c>
      <c r="C645" t="str">
        <f>IF(book_sales[[#This Row],[Publishing Year]]&lt;1900,"Classic (Before 1900)",IF(book_sales[[#This Row],[Publishing Year]]&lt;2000,"20th Century (1900-1999)","21st Century (2000+)"))</f>
        <v>20th Century (1900-1999)</v>
      </c>
      <c r="D645" t="s">
        <v>602</v>
      </c>
      <c r="E645" t="s">
        <v>603</v>
      </c>
      <c r="F645" t="s">
        <v>23</v>
      </c>
      <c r="G645" t="s">
        <v>24</v>
      </c>
      <c r="H645">
        <v>3.74</v>
      </c>
      <c r="I645">
        <v>112733</v>
      </c>
      <c r="J645" t="s">
        <v>19</v>
      </c>
      <c r="K645">
        <v>997.5</v>
      </c>
      <c r="L645">
        <v>0</v>
      </c>
      <c r="M645">
        <v>3.75</v>
      </c>
      <c r="N645">
        <v>340</v>
      </c>
      <c r="O645" t="s">
        <v>27</v>
      </c>
      <c r="P645">
        <v>266</v>
      </c>
    </row>
    <row r="646" spans="1:16" x14ac:dyDescent="0.35">
      <c r="A646">
        <v>148</v>
      </c>
      <c r="B646">
        <v>1939</v>
      </c>
      <c r="C646" t="str">
        <f>IF(book_sales[[#This Row],[Publishing Year]]&lt;1900,"Classic (Before 1900)",IF(book_sales[[#This Row],[Publishing Year]]&lt;2000,"20th Century (1900-1999)","21st Century (2000+)"))</f>
        <v>20th Century (1900-1999)</v>
      </c>
      <c r="D646" t="s">
        <v>304</v>
      </c>
      <c r="E646" t="s">
        <v>305</v>
      </c>
      <c r="F646" t="s">
        <v>92</v>
      </c>
      <c r="G646" t="s">
        <v>24</v>
      </c>
      <c r="H646">
        <v>4.22</v>
      </c>
      <c r="I646">
        <v>156726</v>
      </c>
      <c r="J646" t="s">
        <v>19</v>
      </c>
      <c r="K646">
        <v>712.8</v>
      </c>
      <c r="L646">
        <v>0</v>
      </c>
      <c r="M646">
        <v>0.99</v>
      </c>
      <c r="N646">
        <v>156</v>
      </c>
      <c r="O646" t="s">
        <v>27</v>
      </c>
      <c r="P646">
        <v>720</v>
      </c>
    </row>
    <row r="647" spans="1:16" x14ac:dyDescent="0.35">
      <c r="A647">
        <v>842</v>
      </c>
      <c r="B647">
        <v>1980</v>
      </c>
      <c r="C647" t="str">
        <f>IF(book_sales[[#This Row],[Publishing Year]]&lt;1900,"Classic (Before 1900)",IF(book_sales[[#This Row],[Publishing Year]]&lt;2000,"20th Century (1900-1999)","21st Century (2000+)"))</f>
        <v>20th Century (1900-1999)</v>
      </c>
      <c r="D647" t="s">
        <v>1459</v>
      </c>
      <c r="E647" t="s">
        <v>1460</v>
      </c>
      <c r="F647" t="s">
        <v>23</v>
      </c>
      <c r="G647" t="s">
        <v>24</v>
      </c>
      <c r="H647">
        <v>3.89</v>
      </c>
      <c r="I647">
        <v>77046</v>
      </c>
      <c r="J647" t="s">
        <v>19</v>
      </c>
      <c r="K647">
        <v>450.87</v>
      </c>
      <c r="L647">
        <v>0</v>
      </c>
      <c r="M647">
        <v>3.99</v>
      </c>
      <c r="N647">
        <v>985</v>
      </c>
      <c r="O647" t="s">
        <v>27</v>
      </c>
      <c r="P647">
        <v>2889</v>
      </c>
    </row>
    <row r="648" spans="1:16" x14ac:dyDescent="0.35">
      <c r="A648">
        <v>741</v>
      </c>
      <c r="B648">
        <v>2003</v>
      </c>
      <c r="C648" t="str">
        <f>IF(book_sales[[#This Row],[Publishing Year]]&lt;1900,"Classic (Before 1900)",IF(book_sales[[#This Row],[Publishing Year]]&lt;2000,"20th Century (1900-1999)","21st Century (2000+)"))</f>
        <v>21st Century (2000+)</v>
      </c>
      <c r="D648" t="s">
        <v>1305</v>
      </c>
      <c r="E648" t="s">
        <v>1306</v>
      </c>
      <c r="F648" t="s">
        <v>17</v>
      </c>
      <c r="G648" t="s">
        <v>24</v>
      </c>
      <c r="H648">
        <v>3.86</v>
      </c>
      <c r="I648">
        <v>79117</v>
      </c>
      <c r="J648" t="s">
        <v>19</v>
      </c>
      <c r="K648">
        <v>466.83</v>
      </c>
      <c r="L648">
        <v>0</v>
      </c>
      <c r="M648">
        <v>3.99</v>
      </c>
      <c r="N648">
        <v>852</v>
      </c>
      <c r="O648" t="s">
        <v>27</v>
      </c>
      <c r="P648">
        <v>32184</v>
      </c>
    </row>
    <row r="649" spans="1:16" x14ac:dyDescent="0.35">
      <c r="A649">
        <v>772</v>
      </c>
      <c r="B649">
        <v>1978</v>
      </c>
      <c r="C649" t="str">
        <f>IF(book_sales[[#This Row],[Publishing Year]]&lt;1900,"Classic (Before 1900)",IF(book_sales[[#This Row],[Publishing Year]]&lt;2000,"20th Century (1900-1999)","21st Century (2000+)"))</f>
        <v>20th Century (1900-1999)</v>
      </c>
      <c r="D649" t="s">
        <v>1354</v>
      </c>
      <c r="E649" t="s">
        <v>1355</v>
      </c>
      <c r="F649" t="s">
        <v>17</v>
      </c>
      <c r="G649" t="s">
        <v>532</v>
      </c>
      <c r="H649">
        <v>4.03</v>
      </c>
      <c r="I649">
        <v>61238</v>
      </c>
      <c r="J649" t="s">
        <v>41</v>
      </c>
      <c r="K649">
        <v>1042.8399999999999</v>
      </c>
      <c r="L649">
        <v>625.70399999999995</v>
      </c>
      <c r="M649">
        <v>8.99</v>
      </c>
      <c r="N649">
        <v>893</v>
      </c>
      <c r="O649" t="s">
        <v>27</v>
      </c>
      <c r="P649">
        <v>29160</v>
      </c>
    </row>
    <row r="650" spans="1:16" x14ac:dyDescent="0.35">
      <c r="A650">
        <v>355</v>
      </c>
      <c r="B650">
        <v>2014</v>
      </c>
      <c r="C650" t="str">
        <f>IF(book_sales[[#This Row],[Publishing Year]]&lt;1900,"Classic (Before 1900)",IF(book_sales[[#This Row],[Publishing Year]]&lt;2000,"20th Century (1900-1999)","21st Century (2000+)"))</f>
        <v>21st Century (2000+)</v>
      </c>
      <c r="D650" t="s">
        <v>671</v>
      </c>
      <c r="E650" t="s">
        <v>672</v>
      </c>
      <c r="F650" t="s">
        <v>23</v>
      </c>
      <c r="G650" t="s">
        <v>24</v>
      </c>
      <c r="H650">
        <v>3.93</v>
      </c>
      <c r="I650">
        <v>99729</v>
      </c>
      <c r="J650" t="s">
        <v>19</v>
      </c>
      <c r="K650">
        <v>463.67</v>
      </c>
      <c r="L650">
        <v>278.202</v>
      </c>
      <c r="M650">
        <v>1.99</v>
      </c>
      <c r="N650">
        <v>383</v>
      </c>
      <c r="O650" t="s">
        <v>66</v>
      </c>
      <c r="P650">
        <v>233</v>
      </c>
    </row>
    <row r="651" spans="1:16" x14ac:dyDescent="0.35">
      <c r="A651">
        <v>665</v>
      </c>
      <c r="B651">
        <v>1973</v>
      </c>
      <c r="C651" t="str">
        <f>IF(book_sales[[#This Row],[Publishing Year]]&lt;1900,"Classic (Before 1900)",IF(book_sales[[#This Row],[Publishing Year]]&lt;2000,"20th Century (1900-1999)","21st Century (2000+)"))</f>
        <v>20th Century (1900-1999)</v>
      </c>
      <c r="D651" t="s">
        <v>1186</v>
      </c>
      <c r="E651" t="s">
        <v>1187</v>
      </c>
      <c r="F651" t="s">
        <v>23</v>
      </c>
      <c r="G651" t="s">
        <v>532</v>
      </c>
      <c r="H651">
        <v>4.07</v>
      </c>
      <c r="I651">
        <v>87277</v>
      </c>
      <c r="J651" t="s">
        <v>19</v>
      </c>
      <c r="K651">
        <v>355.81</v>
      </c>
      <c r="L651">
        <v>0</v>
      </c>
      <c r="M651">
        <v>2.99</v>
      </c>
      <c r="N651">
        <v>765</v>
      </c>
      <c r="O651" t="s">
        <v>27</v>
      </c>
      <c r="P651">
        <v>39312</v>
      </c>
    </row>
    <row r="652" spans="1:16" x14ac:dyDescent="0.35">
      <c r="A652">
        <v>999</v>
      </c>
      <c r="B652">
        <v>1978</v>
      </c>
      <c r="C652" t="str">
        <f>IF(book_sales[[#This Row],[Publishing Year]]&lt;1900,"Classic (Before 1900)",IF(book_sales[[#This Row],[Publishing Year]]&lt;2000,"20th Century (1900-1999)","21st Century (2000+)"))</f>
        <v>20th Century (1900-1999)</v>
      </c>
      <c r="D652" t="s">
        <v>1699</v>
      </c>
      <c r="E652" t="s">
        <v>1187</v>
      </c>
      <c r="F652" t="s">
        <v>23</v>
      </c>
      <c r="G652" t="s">
        <v>532</v>
      </c>
      <c r="H652">
        <v>4.13</v>
      </c>
      <c r="I652">
        <v>75851</v>
      </c>
      <c r="J652" t="s">
        <v>19</v>
      </c>
      <c r="K652">
        <v>322.92</v>
      </c>
      <c r="L652">
        <v>0</v>
      </c>
      <c r="M652">
        <v>2.99</v>
      </c>
      <c r="N652">
        <v>1182</v>
      </c>
      <c r="O652" t="s">
        <v>27</v>
      </c>
      <c r="P652">
        <v>108</v>
      </c>
    </row>
    <row r="653" spans="1:16" x14ac:dyDescent="0.35">
      <c r="A653">
        <v>397</v>
      </c>
      <c r="B653">
        <v>2012</v>
      </c>
      <c r="C653" t="str">
        <f>IF(book_sales[[#This Row],[Publishing Year]]&lt;1900,"Classic (Before 1900)",IF(book_sales[[#This Row],[Publishing Year]]&lt;2000,"20th Century (1900-1999)","21st Century (2000+)"))</f>
        <v>21st Century (2000+)</v>
      </c>
      <c r="D653" t="s">
        <v>745</v>
      </c>
      <c r="E653" t="s">
        <v>746</v>
      </c>
      <c r="F653" t="s">
        <v>23</v>
      </c>
      <c r="G653" t="s">
        <v>532</v>
      </c>
      <c r="H653">
        <v>4.05</v>
      </c>
      <c r="I653">
        <v>121727</v>
      </c>
      <c r="J653" t="s">
        <v>41</v>
      </c>
      <c r="K653">
        <v>206.91</v>
      </c>
      <c r="L653">
        <v>124.146</v>
      </c>
      <c r="M653">
        <v>0.99</v>
      </c>
      <c r="N653">
        <v>432</v>
      </c>
      <c r="O653" t="s">
        <v>27</v>
      </c>
      <c r="P653">
        <v>5643</v>
      </c>
    </row>
    <row r="654" spans="1:16" x14ac:dyDescent="0.35">
      <c r="A654">
        <v>426</v>
      </c>
      <c r="B654">
        <v>2010</v>
      </c>
      <c r="C654" t="str">
        <f>IF(book_sales[[#This Row],[Publishing Year]]&lt;1900,"Classic (Before 1900)",IF(book_sales[[#This Row],[Publishing Year]]&lt;2000,"20th Century (1900-1999)","21st Century (2000+)"))</f>
        <v>21st Century (2000+)</v>
      </c>
      <c r="D654" t="s">
        <v>794</v>
      </c>
      <c r="E654" t="s">
        <v>746</v>
      </c>
      <c r="F654" t="s">
        <v>17</v>
      </c>
      <c r="G654" t="s">
        <v>24</v>
      </c>
      <c r="H654">
        <v>3.91</v>
      </c>
      <c r="I654">
        <v>125363</v>
      </c>
      <c r="J654" t="s">
        <v>19</v>
      </c>
      <c r="K654">
        <v>376.11</v>
      </c>
      <c r="L654">
        <v>0</v>
      </c>
      <c r="M654">
        <v>1.99</v>
      </c>
      <c r="N654">
        <v>471</v>
      </c>
      <c r="O654" t="s">
        <v>27</v>
      </c>
      <c r="P654">
        <v>5103</v>
      </c>
    </row>
    <row r="655" spans="1:16" x14ac:dyDescent="0.35">
      <c r="A655">
        <v>1054</v>
      </c>
      <c r="B655">
        <v>2011</v>
      </c>
      <c r="C655" t="str">
        <f>IF(book_sales[[#This Row],[Publishing Year]]&lt;1900,"Classic (Before 1900)",IF(book_sales[[#This Row],[Publishing Year]]&lt;2000,"20th Century (1900-1999)","21st Century (2000+)"))</f>
        <v>21st Century (2000+)</v>
      </c>
      <c r="D655" t="s">
        <v>1782</v>
      </c>
      <c r="E655" t="s">
        <v>746</v>
      </c>
      <c r="F655" t="s">
        <v>23</v>
      </c>
      <c r="G655" t="s">
        <v>24</v>
      </c>
      <c r="H655">
        <v>3.91</v>
      </c>
      <c r="I655">
        <v>85034</v>
      </c>
      <c r="J655" t="s">
        <v>19</v>
      </c>
      <c r="K655">
        <v>827.86</v>
      </c>
      <c r="L655">
        <v>496.71600000000001</v>
      </c>
      <c r="M655">
        <v>7.81</v>
      </c>
      <c r="N655">
        <v>1249</v>
      </c>
      <c r="O655" t="s">
        <v>34</v>
      </c>
      <c r="P655">
        <v>106</v>
      </c>
    </row>
    <row r="656" spans="1:16" x14ac:dyDescent="0.35">
      <c r="A656">
        <v>361</v>
      </c>
      <c r="B656">
        <v>2011</v>
      </c>
      <c r="C656" t="str">
        <f>IF(book_sales[[#This Row],[Publishing Year]]&lt;1900,"Classic (Before 1900)",IF(book_sales[[#This Row],[Publishing Year]]&lt;2000,"20th Century (1900-1999)","21st Century (2000+)"))</f>
        <v>21st Century (2000+)</v>
      </c>
      <c r="D656" t="s">
        <v>679</v>
      </c>
      <c r="E656" t="s">
        <v>680</v>
      </c>
      <c r="F656" t="s">
        <v>23</v>
      </c>
      <c r="G656" t="s">
        <v>24</v>
      </c>
      <c r="H656">
        <v>3.9</v>
      </c>
      <c r="I656">
        <v>90083</v>
      </c>
      <c r="J656" t="s">
        <v>41</v>
      </c>
      <c r="K656">
        <v>2509.3000000000002</v>
      </c>
      <c r="L656">
        <v>1505.58</v>
      </c>
      <c r="M656">
        <v>10.91</v>
      </c>
      <c r="N656">
        <v>389</v>
      </c>
      <c r="O656" t="s">
        <v>46</v>
      </c>
      <c r="P656">
        <v>6210</v>
      </c>
    </row>
    <row r="657" spans="1:16" x14ac:dyDescent="0.35">
      <c r="A657">
        <v>813</v>
      </c>
      <c r="B657">
        <v>2009</v>
      </c>
      <c r="C657" t="str">
        <f>IF(book_sales[[#This Row],[Publishing Year]]&lt;1900,"Classic (Before 1900)",IF(book_sales[[#This Row],[Publishing Year]]&lt;2000,"20th Century (1900-1999)","21st Century (2000+)"))</f>
        <v>21st Century (2000+)</v>
      </c>
      <c r="D657" t="s">
        <v>1421</v>
      </c>
      <c r="E657" t="s">
        <v>680</v>
      </c>
      <c r="F657" t="s">
        <v>23</v>
      </c>
      <c r="G657" t="s">
        <v>24</v>
      </c>
      <c r="H657">
        <v>3.82</v>
      </c>
      <c r="I657">
        <v>65277</v>
      </c>
      <c r="J657" t="s">
        <v>19</v>
      </c>
      <c r="K657">
        <v>876.66</v>
      </c>
      <c r="L657">
        <v>525.99599999999998</v>
      </c>
      <c r="M657">
        <v>7.69</v>
      </c>
      <c r="N657">
        <v>950</v>
      </c>
      <c r="O657" t="s">
        <v>46</v>
      </c>
      <c r="P657">
        <v>2916</v>
      </c>
    </row>
    <row r="658" spans="1:16" x14ac:dyDescent="0.35">
      <c r="A658">
        <v>234</v>
      </c>
      <c r="B658">
        <v>1965</v>
      </c>
      <c r="C658" t="str">
        <f>IF(book_sales[[#This Row],[Publishing Year]]&lt;1900,"Classic (Before 1900)",IF(book_sales[[#This Row],[Publishing Year]]&lt;2000,"20th Century (1900-1999)","21st Century (2000+)"))</f>
        <v>20th Century (1900-1999)</v>
      </c>
      <c r="D658" t="s">
        <v>451</v>
      </c>
      <c r="E658" t="s">
        <v>452</v>
      </c>
      <c r="F658" t="s">
        <v>23</v>
      </c>
      <c r="G658" t="s">
        <v>24</v>
      </c>
      <c r="H658">
        <v>4.29</v>
      </c>
      <c r="I658">
        <v>124805</v>
      </c>
      <c r="J658" t="s">
        <v>41</v>
      </c>
      <c r="K658">
        <v>2025.94</v>
      </c>
      <c r="L658">
        <v>1215.5640000000001</v>
      </c>
      <c r="M658">
        <v>4.99</v>
      </c>
      <c r="N658">
        <v>256</v>
      </c>
      <c r="O658" t="s">
        <v>46</v>
      </c>
      <c r="P658">
        <v>406</v>
      </c>
    </row>
    <row r="659" spans="1:16" x14ac:dyDescent="0.35">
      <c r="A659">
        <v>877</v>
      </c>
      <c r="B659">
        <v>2006</v>
      </c>
      <c r="C659" t="str">
        <f>IF(book_sales[[#This Row],[Publishing Year]]&lt;1900,"Classic (Before 1900)",IF(book_sales[[#This Row],[Publishing Year]]&lt;2000,"20th Century (1900-1999)","21st Century (2000+)"))</f>
        <v>21st Century (2000+)</v>
      </c>
      <c r="D659" t="s">
        <v>1509</v>
      </c>
      <c r="E659" t="s">
        <v>1510</v>
      </c>
      <c r="F659" t="s">
        <v>23</v>
      </c>
      <c r="G659" t="s">
        <v>532</v>
      </c>
      <c r="H659">
        <v>4.34</v>
      </c>
      <c r="I659">
        <v>46551</v>
      </c>
      <c r="J659" t="s">
        <v>19</v>
      </c>
      <c r="K659">
        <v>446.88</v>
      </c>
      <c r="L659">
        <v>0</v>
      </c>
      <c r="M659">
        <v>3.99</v>
      </c>
      <c r="N659">
        <v>1030</v>
      </c>
      <c r="O659" t="s">
        <v>27</v>
      </c>
      <c r="P659">
        <v>4440</v>
      </c>
    </row>
    <row r="660" spans="1:16" x14ac:dyDescent="0.35">
      <c r="A660">
        <v>41</v>
      </c>
      <c r="B660">
        <v>2003</v>
      </c>
      <c r="C660" t="str">
        <f>IF(book_sales[[#This Row],[Publishing Year]]&lt;1900,"Classic (Before 1900)",IF(book_sales[[#This Row],[Publishing Year]]&lt;2000,"20th Century (1900-1999)","21st Century (2000+)"))</f>
        <v>21st Century (2000+)</v>
      </c>
      <c r="D660" t="s">
        <v>106</v>
      </c>
      <c r="E660" t="s">
        <v>107</v>
      </c>
      <c r="F660" t="s">
        <v>23</v>
      </c>
      <c r="G660" t="s">
        <v>24</v>
      </c>
      <c r="H660">
        <v>4</v>
      </c>
      <c r="I660">
        <v>151500</v>
      </c>
      <c r="J660" t="s">
        <v>19</v>
      </c>
      <c r="K660">
        <v>7485.24</v>
      </c>
      <c r="L660">
        <v>0</v>
      </c>
      <c r="M660">
        <v>3.99</v>
      </c>
      <c r="N660">
        <v>43</v>
      </c>
      <c r="O660" t="s">
        <v>27</v>
      </c>
      <c r="P660">
        <v>1876</v>
      </c>
    </row>
    <row r="661" spans="1:16" x14ac:dyDescent="0.35">
      <c r="A661">
        <v>352</v>
      </c>
      <c r="B661">
        <v>2000</v>
      </c>
      <c r="C661" t="str">
        <f>IF(book_sales[[#This Row],[Publishing Year]]&lt;1900,"Classic (Before 1900)",IF(book_sales[[#This Row],[Publishing Year]]&lt;2000,"20th Century (1900-1999)","21st Century (2000+)"))</f>
        <v>21st Century (2000+)</v>
      </c>
      <c r="D661" t="s">
        <v>666</v>
      </c>
      <c r="E661" t="s">
        <v>107</v>
      </c>
      <c r="F661" t="s">
        <v>23</v>
      </c>
      <c r="G661" t="s">
        <v>24</v>
      </c>
      <c r="H661">
        <v>3.95</v>
      </c>
      <c r="I661">
        <v>98464</v>
      </c>
      <c r="J661" t="s">
        <v>41</v>
      </c>
      <c r="K661">
        <v>1885.64</v>
      </c>
      <c r="L661">
        <v>1131.384</v>
      </c>
      <c r="M661">
        <v>7.99</v>
      </c>
      <c r="N661">
        <v>378</v>
      </c>
      <c r="O661" t="s">
        <v>578</v>
      </c>
      <c r="P661">
        <v>236</v>
      </c>
    </row>
    <row r="662" spans="1:16" x14ac:dyDescent="0.35">
      <c r="A662">
        <v>874</v>
      </c>
      <c r="B662">
        <v>2009</v>
      </c>
      <c r="C662" t="str">
        <f>IF(book_sales[[#This Row],[Publishing Year]]&lt;1900,"Classic (Before 1900)",IF(book_sales[[#This Row],[Publishing Year]]&lt;2000,"20th Century (1900-1999)","21st Century (2000+)"))</f>
        <v>21st Century (2000+)</v>
      </c>
      <c r="D662" t="s">
        <v>1506</v>
      </c>
      <c r="E662" t="s">
        <v>107</v>
      </c>
      <c r="F662" t="s">
        <v>23</v>
      </c>
      <c r="G662" t="s">
        <v>532</v>
      </c>
      <c r="H662">
        <v>4.05</v>
      </c>
      <c r="I662">
        <v>68597</v>
      </c>
      <c r="J662" t="s">
        <v>19</v>
      </c>
      <c r="K662">
        <v>894.88</v>
      </c>
      <c r="L662">
        <v>536.928</v>
      </c>
      <c r="M662">
        <v>7.99</v>
      </c>
      <c r="N662">
        <v>1024</v>
      </c>
      <c r="O662" t="s">
        <v>66</v>
      </c>
      <c r="P662">
        <v>4480</v>
      </c>
    </row>
    <row r="663" spans="1:16" x14ac:dyDescent="0.35">
      <c r="A663">
        <v>528</v>
      </c>
      <c r="B663">
        <v>1998</v>
      </c>
      <c r="C663" t="str">
        <f>IF(book_sales[[#This Row],[Publishing Year]]&lt;1900,"Classic (Before 1900)",IF(book_sales[[#This Row],[Publishing Year]]&lt;2000,"20th Century (1900-1999)","21st Century (2000+)"))</f>
        <v>20th Century (1900-1999)</v>
      </c>
      <c r="D663" t="s">
        <v>959</v>
      </c>
      <c r="E663" t="s">
        <v>960</v>
      </c>
      <c r="F663" t="s">
        <v>23</v>
      </c>
      <c r="G663" t="s">
        <v>24</v>
      </c>
      <c r="H663">
        <v>3.97</v>
      </c>
      <c r="I663">
        <v>94478</v>
      </c>
      <c r="J663" t="s">
        <v>19</v>
      </c>
      <c r="K663">
        <v>2106.4499999999998</v>
      </c>
      <c r="L663">
        <v>1263.8699999999999</v>
      </c>
      <c r="M663">
        <v>13.59</v>
      </c>
      <c r="N663">
        <v>589</v>
      </c>
      <c r="O663" t="s">
        <v>20</v>
      </c>
      <c r="P663">
        <v>4185</v>
      </c>
    </row>
    <row r="664" spans="1:16" x14ac:dyDescent="0.35">
      <c r="A664">
        <v>865</v>
      </c>
      <c r="B664">
        <v>1984</v>
      </c>
      <c r="C664" t="str">
        <f>IF(book_sales[[#This Row],[Publishing Year]]&lt;1900,"Classic (Before 1900)",IF(book_sales[[#This Row],[Publishing Year]]&lt;2000,"20th Century (1900-1999)","21st Century (2000+)"))</f>
        <v>20th Century (1900-1999)</v>
      </c>
      <c r="D664" t="s">
        <v>1493</v>
      </c>
      <c r="E664" t="s">
        <v>1494</v>
      </c>
      <c r="F664" t="s">
        <v>17</v>
      </c>
      <c r="G664" t="s">
        <v>532</v>
      </c>
      <c r="H664">
        <v>4.03</v>
      </c>
      <c r="I664">
        <v>76219</v>
      </c>
      <c r="J664" t="s">
        <v>41</v>
      </c>
      <c r="K664">
        <v>992.14</v>
      </c>
      <c r="L664">
        <v>595.28399999999999</v>
      </c>
      <c r="M664">
        <v>8.7799999999999994</v>
      </c>
      <c r="N664">
        <v>1011</v>
      </c>
      <c r="O664" t="s">
        <v>66</v>
      </c>
      <c r="P664">
        <v>2862</v>
      </c>
    </row>
    <row r="665" spans="1:16" x14ac:dyDescent="0.35">
      <c r="A665">
        <v>14</v>
      </c>
      <c r="B665">
        <v>1922</v>
      </c>
      <c r="C665" t="str">
        <f>IF(book_sales[[#This Row],[Publishing Year]]&lt;1900,"Classic (Before 1900)",IF(book_sales[[#This Row],[Publishing Year]]&lt;2000,"20th Century (1900-1999)","21st Century (2000+)"))</f>
        <v>20th Century (1900-1999)</v>
      </c>
      <c r="D665" t="s">
        <v>56</v>
      </c>
      <c r="E665" t="s">
        <v>57</v>
      </c>
      <c r="F665" t="s">
        <v>23</v>
      </c>
      <c r="G665" t="s">
        <v>24</v>
      </c>
      <c r="H665">
        <v>4.29</v>
      </c>
      <c r="I665">
        <v>173469</v>
      </c>
      <c r="J665" t="s">
        <v>19</v>
      </c>
      <c r="K665">
        <v>21797.82</v>
      </c>
      <c r="L665">
        <v>13078.691999999999</v>
      </c>
      <c r="M665">
        <v>6.54</v>
      </c>
      <c r="N665">
        <v>15</v>
      </c>
      <c r="O665" t="s">
        <v>46</v>
      </c>
      <c r="P665">
        <v>3333</v>
      </c>
    </row>
    <row r="666" spans="1:16" x14ac:dyDescent="0.35">
      <c r="A666">
        <v>804</v>
      </c>
      <c r="B666">
        <v>2005</v>
      </c>
      <c r="C666" t="str">
        <f>IF(book_sales[[#This Row],[Publishing Year]]&lt;1900,"Classic (Before 1900)",IF(book_sales[[#This Row],[Publishing Year]]&lt;2000,"20th Century (1900-1999)","21st Century (2000+)"))</f>
        <v>21st Century (2000+)</v>
      </c>
      <c r="D666" t="s">
        <v>1410</v>
      </c>
      <c r="E666" t="s">
        <v>1411</v>
      </c>
      <c r="F666" t="s">
        <v>23</v>
      </c>
      <c r="G666" t="s">
        <v>532</v>
      </c>
      <c r="H666">
        <v>4.16</v>
      </c>
      <c r="I666">
        <v>96417</v>
      </c>
      <c r="J666" t="s">
        <v>19</v>
      </c>
      <c r="K666">
        <v>343.85</v>
      </c>
      <c r="L666">
        <v>0</v>
      </c>
      <c r="M666">
        <v>2.99</v>
      </c>
      <c r="N666">
        <v>937</v>
      </c>
      <c r="O666" t="s">
        <v>27</v>
      </c>
      <c r="P666">
        <v>2916</v>
      </c>
    </row>
    <row r="667" spans="1:16" x14ac:dyDescent="0.35">
      <c r="A667">
        <v>389</v>
      </c>
      <c r="B667">
        <v>2011</v>
      </c>
      <c r="C667" t="str">
        <f>IF(book_sales[[#This Row],[Publishing Year]]&lt;1900,"Classic (Before 1900)",IF(book_sales[[#This Row],[Publishing Year]]&lt;2000,"20th Century (1900-1999)","21st Century (2000+)"))</f>
        <v>21st Century (2000+)</v>
      </c>
      <c r="D667" t="s">
        <v>730</v>
      </c>
      <c r="E667" t="s">
        <v>731</v>
      </c>
      <c r="F667" t="s">
        <v>23</v>
      </c>
      <c r="G667" t="s">
        <v>24</v>
      </c>
      <c r="H667">
        <v>3.77</v>
      </c>
      <c r="I667">
        <v>105063</v>
      </c>
      <c r="J667" t="s">
        <v>19</v>
      </c>
      <c r="K667">
        <v>849.87</v>
      </c>
      <c r="L667">
        <v>509.92200000000003</v>
      </c>
      <c r="M667">
        <v>3.99</v>
      </c>
      <c r="N667">
        <v>423</v>
      </c>
      <c r="O667" t="s">
        <v>27</v>
      </c>
      <c r="P667">
        <v>5751</v>
      </c>
    </row>
    <row r="668" spans="1:16" x14ac:dyDescent="0.35">
      <c r="A668">
        <v>182</v>
      </c>
      <c r="B668">
        <v>2013</v>
      </c>
      <c r="C668" t="str">
        <f>IF(book_sales[[#This Row],[Publishing Year]]&lt;1900,"Classic (Before 1900)",IF(book_sales[[#This Row],[Publishing Year]]&lt;2000,"20th Century (1900-1999)","21st Century (2000+)"))</f>
        <v>21st Century (2000+)</v>
      </c>
      <c r="D668" t="s">
        <v>361</v>
      </c>
      <c r="E668" t="s">
        <v>362</v>
      </c>
      <c r="F668" t="s">
        <v>23</v>
      </c>
      <c r="G668" t="s">
        <v>24</v>
      </c>
      <c r="H668">
        <v>4.29</v>
      </c>
      <c r="I668">
        <v>149702</v>
      </c>
      <c r="J668" t="s">
        <v>19</v>
      </c>
      <c r="K668">
        <v>1524.9</v>
      </c>
      <c r="L668">
        <v>0</v>
      </c>
      <c r="M668">
        <v>2.99</v>
      </c>
      <c r="N668">
        <v>198</v>
      </c>
      <c r="O668" t="s">
        <v>27</v>
      </c>
      <c r="P668">
        <v>510</v>
      </c>
    </row>
    <row r="669" spans="1:16" x14ac:dyDescent="0.35">
      <c r="A669">
        <v>471</v>
      </c>
      <c r="B669">
        <v>2013</v>
      </c>
      <c r="C669" t="str">
        <f>IF(book_sales[[#This Row],[Publishing Year]]&lt;1900,"Classic (Before 1900)",IF(book_sales[[#This Row],[Publishing Year]]&lt;2000,"20th Century (1900-1999)","21st Century (2000+)"))</f>
        <v>21st Century (2000+)</v>
      </c>
      <c r="D669" t="s">
        <v>869</v>
      </c>
      <c r="E669" t="s">
        <v>362</v>
      </c>
      <c r="F669" t="s">
        <v>23</v>
      </c>
      <c r="G669" t="s">
        <v>532</v>
      </c>
      <c r="H669">
        <v>4.37</v>
      </c>
      <c r="I669">
        <v>114623</v>
      </c>
      <c r="J669" t="s">
        <v>41</v>
      </c>
      <c r="K669">
        <v>1688.31</v>
      </c>
      <c r="L669">
        <v>1012.986</v>
      </c>
      <c r="M669">
        <v>9.99</v>
      </c>
      <c r="N669">
        <v>523</v>
      </c>
      <c r="O669" t="s">
        <v>66</v>
      </c>
      <c r="P669">
        <v>4563</v>
      </c>
    </row>
    <row r="670" spans="1:16" x14ac:dyDescent="0.35">
      <c r="A670">
        <v>89</v>
      </c>
      <c r="B670">
        <v>1982</v>
      </c>
      <c r="C670" t="str">
        <f>IF(book_sales[[#This Row],[Publishing Year]]&lt;1900,"Classic (Before 1900)",IF(book_sales[[#This Row],[Publishing Year]]&lt;2000,"20th Century (1900-1999)","21st Century (2000+)"))</f>
        <v>20th Century (1900-1999)</v>
      </c>
      <c r="D670" t="s">
        <v>201</v>
      </c>
      <c r="E670" t="s">
        <v>202</v>
      </c>
      <c r="F670" t="s">
        <v>23</v>
      </c>
      <c r="G670" t="s">
        <v>24</v>
      </c>
      <c r="H670">
        <v>4.12</v>
      </c>
      <c r="I670">
        <v>157736</v>
      </c>
      <c r="J670" t="s">
        <v>19</v>
      </c>
      <c r="K670">
        <v>1157.31</v>
      </c>
      <c r="L670">
        <v>694.38599999999997</v>
      </c>
      <c r="M670">
        <v>0.99</v>
      </c>
      <c r="N670">
        <v>89</v>
      </c>
      <c r="O670" t="s">
        <v>27</v>
      </c>
      <c r="P670">
        <v>1169</v>
      </c>
    </row>
    <row r="671" spans="1:16" x14ac:dyDescent="0.35">
      <c r="A671">
        <v>50</v>
      </c>
      <c r="B671">
        <v>2013</v>
      </c>
      <c r="C671" t="str">
        <f>IF(book_sales[[#This Row],[Publishing Year]]&lt;1900,"Classic (Before 1900)",IF(book_sales[[#This Row],[Publishing Year]]&lt;2000,"20th Century (1900-1999)","21st Century (2000+)"))</f>
        <v>21st Century (2000+)</v>
      </c>
      <c r="D671" t="s">
        <v>125</v>
      </c>
      <c r="E671" t="s">
        <v>126</v>
      </c>
      <c r="F671" t="s">
        <v>23</v>
      </c>
      <c r="G671" t="s">
        <v>24</v>
      </c>
      <c r="H671">
        <v>4.3</v>
      </c>
      <c r="I671">
        <v>193766</v>
      </c>
      <c r="J671" t="s">
        <v>19</v>
      </c>
      <c r="K671">
        <v>1720.62</v>
      </c>
      <c r="L671">
        <v>1032.3720000000001</v>
      </c>
      <c r="M671">
        <v>0.99</v>
      </c>
      <c r="N671">
        <v>52</v>
      </c>
      <c r="O671" t="s">
        <v>27</v>
      </c>
      <c r="P671">
        <v>1738</v>
      </c>
    </row>
    <row r="672" spans="1:16" x14ac:dyDescent="0.35">
      <c r="A672">
        <v>243</v>
      </c>
      <c r="B672">
        <v>2014</v>
      </c>
      <c r="C672" t="str">
        <f>IF(book_sales[[#This Row],[Publishing Year]]&lt;1900,"Classic (Before 1900)",IF(book_sales[[#This Row],[Publishing Year]]&lt;2000,"20th Century (1900-1999)","21st Century (2000+)"))</f>
        <v>21st Century (2000+)</v>
      </c>
      <c r="D672" t="s">
        <v>468</v>
      </c>
      <c r="E672" t="s">
        <v>126</v>
      </c>
      <c r="F672" t="s">
        <v>23</v>
      </c>
      <c r="G672" t="s">
        <v>53</v>
      </c>
      <c r="H672">
        <v>4.46</v>
      </c>
      <c r="I672">
        <v>162069</v>
      </c>
      <c r="J672" t="s">
        <v>41</v>
      </c>
      <c r="K672">
        <v>1154.1400000000001</v>
      </c>
      <c r="L672">
        <v>692.48400000000004</v>
      </c>
      <c r="M672">
        <v>2.99</v>
      </c>
      <c r="N672">
        <v>268</v>
      </c>
      <c r="O672" t="s">
        <v>133</v>
      </c>
      <c r="P672">
        <v>386</v>
      </c>
    </row>
    <row r="673" spans="1:16" x14ac:dyDescent="0.35">
      <c r="A673">
        <v>822</v>
      </c>
      <c r="B673">
        <v>2015</v>
      </c>
      <c r="C673" t="str">
        <f>IF(book_sales[[#This Row],[Publishing Year]]&lt;1900,"Classic (Before 1900)",IF(book_sales[[#This Row],[Publishing Year]]&lt;2000,"20th Century (1900-1999)","21st Century (2000+)"))</f>
        <v>21st Century (2000+)</v>
      </c>
      <c r="D673" t="s">
        <v>1432</v>
      </c>
      <c r="E673" t="s">
        <v>126</v>
      </c>
      <c r="F673" t="s">
        <v>23</v>
      </c>
      <c r="G673" t="s">
        <v>53</v>
      </c>
      <c r="H673">
        <v>4.49</v>
      </c>
      <c r="I673">
        <v>100464</v>
      </c>
      <c r="J673" t="s">
        <v>41</v>
      </c>
      <c r="K673">
        <v>397.86</v>
      </c>
      <c r="L673">
        <v>0</v>
      </c>
      <c r="M673">
        <v>3.49</v>
      </c>
      <c r="N673">
        <v>961</v>
      </c>
      <c r="O673" t="s">
        <v>27</v>
      </c>
      <c r="P673">
        <v>2889</v>
      </c>
    </row>
    <row r="674" spans="1:16" x14ac:dyDescent="0.35">
      <c r="A674">
        <v>297</v>
      </c>
      <c r="B674">
        <v>2000</v>
      </c>
      <c r="C674" t="str">
        <f>IF(book_sales[[#This Row],[Publishing Year]]&lt;1900,"Classic (Before 1900)",IF(book_sales[[#This Row],[Publishing Year]]&lt;2000,"20th Century (1900-1999)","21st Century (2000+)"))</f>
        <v>21st Century (2000+)</v>
      </c>
      <c r="D674" t="s">
        <v>565</v>
      </c>
      <c r="E674" t="s">
        <v>566</v>
      </c>
      <c r="F674" t="s">
        <v>23</v>
      </c>
      <c r="G674" t="s">
        <v>532</v>
      </c>
      <c r="H674">
        <v>4.2300000000000004</v>
      </c>
      <c r="I674">
        <v>117103</v>
      </c>
      <c r="J674" t="s">
        <v>19</v>
      </c>
      <c r="K674">
        <v>1487.02</v>
      </c>
      <c r="L674">
        <v>892.21199999999999</v>
      </c>
      <c r="M674">
        <v>4.99</v>
      </c>
      <c r="N674">
        <v>321</v>
      </c>
      <c r="O674" t="s">
        <v>46</v>
      </c>
      <c r="P674">
        <v>298</v>
      </c>
    </row>
    <row r="675" spans="1:16" x14ac:dyDescent="0.35">
      <c r="A675">
        <v>933</v>
      </c>
      <c r="B675">
        <v>2003</v>
      </c>
      <c r="C675" t="str">
        <f>IF(book_sales[[#This Row],[Publishing Year]]&lt;1900,"Classic (Before 1900)",IF(book_sales[[#This Row],[Publishing Year]]&lt;2000,"20th Century (1900-1999)","21st Century (2000+)"))</f>
        <v>21st Century (2000+)</v>
      </c>
      <c r="D675" t="s">
        <v>565</v>
      </c>
      <c r="E675" t="s">
        <v>1592</v>
      </c>
      <c r="F675" t="s">
        <v>17</v>
      </c>
      <c r="G675" t="s">
        <v>532</v>
      </c>
      <c r="H675">
        <v>4.3600000000000003</v>
      </c>
      <c r="I675">
        <v>71353</v>
      </c>
      <c r="J675" t="s">
        <v>41</v>
      </c>
      <c r="K675">
        <v>108.9</v>
      </c>
      <c r="L675">
        <v>0</v>
      </c>
      <c r="M675">
        <v>0.99</v>
      </c>
      <c r="N675">
        <v>1099</v>
      </c>
      <c r="O675" t="s">
        <v>27</v>
      </c>
      <c r="P675">
        <v>4320</v>
      </c>
    </row>
    <row r="676" spans="1:16" x14ac:dyDescent="0.35">
      <c r="A676">
        <v>578</v>
      </c>
      <c r="B676">
        <v>2009</v>
      </c>
      <c r="C676" t="str">
        <f>IF(book_sales[[#This Row],[Publishing Year]]&lt;1900,"Classic (Before 1900)",IF(book_sales[[#This Row],[Publishing Year]]&lt;2000,"20th Century (1900-1999)","21st Century (2000+)"))</f>
        <v>21st Century (2000+)</v>
      </c>
      <c r="D676" t="s">
        <v>1045</v>
      </c>
      <c r="E676" t="s">
        <v>229</v>
      </c>
      <c r="F676" t="s">
        <v>17</v>
      </c>
      <c r="G676" t="s">
        <v>532</v>
      </c>
      <c r="H676">
        <v>4.34</v>
      </c>
      <c r="I676">
        <v>82399</v>
      </c>
      <c r="J676" t="s">
        <v>19</v>
      </c>
      <c r="K676">
        <v>1560.58</v>
      </c>
      <c r="L676">
        <v>936.34799999999996</v>
      </c>
      <c r="M676">
        <v>10.99</v>
      </c>
      <c r="N676">
        <v>647</v>
      </c>
      <c r="O676" t="s">
        <v>34</v>
      </c>
      <c r="P676">
        <v>61560</v>
      </c>
    </row>
    <row r="677" spans="1:16" x14ac:dyDescent="0.35">
      <c r="A677">
        <v>647</v>
      </c>
      <c r="B677">
        <v>1881</v>
      </c>
      <c r="C677" t="str">
        <f>IF(book_sales[[#This Row],[Publishing Year]]&lt;1900,"Classic (Before 1900)",IF(book_sales[[#This Row],[Publishing Year]]&lt;2000,"20th Century (1900-1999)","21st Century (2000+)"))</f>
        <v>Classic (Before 1900)</v>
      </c>
      <c r="D677" t="s">
        <v>1154</v>
      </c>
      <c r="E677" t="s">
        <v>1155</v>
      </c>
      <c r="F677" t="s">
        <v>23</v>
      </c>
      <c r="G677" t="s">
        <v>24</v>
      </c>
      <c r="H677">
        <v>3.84</v>
      </c>
      <c r="I677">
        <v>84682</v>
      </c>
      <c r="J677" t="s">
        <v>19</v>
      </c>
      <c r="K677">
        <v>966.79</v>
      </c>
      <c r="L677">
        <v>580.07399999999996</v>
      </c>
      <c r="M677">
        <v>7.99</v>
      </c>
      <c r="N677">
        <v>741</v>
      </c>
      <c r="O677" t="s">
        <v>46</v>
      </c>
      <c r="P677">
        <v>43416</v>
      </c>
    </row>
    <row r="678" spans="1:16" x14ac:dyDescent="0.35">
      <c r="A678">
        <v>559</v>
      </c>
      <c r="B678">
        <v>2000</v>
      </c>
      <c r="C678" t="str">
        <f>IF(book_sales[[#This Row],[Publishing Year]]&lt;1900,"Classic (Before 1900)",IF(book_sales[[#This Row],[Publishing Year]]&lt;2000,"20th Century (1900-1999)","21st Century (2000+)"))</f>
        <v>21st Century (2000+)</v>
      </c>
      <c r="D678" t="s">
        <v>1013</v>
      </c>
      <c r="E678" t="s">
        <v>1014</v>
      </c>
      <c r="F678" t="s">
        <v>23</v>
      </c>
      <c r="G678" t="s">
        <v>532</v>
      </c>
      <c r="H678">
        <v>4.13</v>
      </c>
      <c r="I678">
        <v>75469</v>
      </c>
      <c r="J678" t="s">
        <v>19</v>
      </c>
      <c r="K678">
        <v>439.53</v>
      </c>
      <c r="L678">
        <v>0</v>
      </c>
      <c r="M678">
        <v>2.99</v>
      </c>
      <c r="N678">
        <v>625</v>
      </c>
      <c r="O678" t="s">
        <v>27</v>
      </c>
      <c r="P678">
        <v>3969</v>
      </c>
    </row>
    <row r="679" spans="1:16" x14ac:dyDescent="0.35">
      <c r="A679">
        <v>556</v>
      </c>
      <c r="B679">
        <v>2002</v>
      </c>
      <c r="C679" t="str">
        <f>IF(book_sales[[#This Row],[Publishing Year]]&lt;1900,"Classic (Before 1900)",IF(book_sales[[#This Row],[Publishing Year]]&lt;2000,"20th Century (1900-1999)","21st Century (2000+)"))</f>
        <v>21st Century (2000+)</v>
      </c>
      <c r="D679" t="s">
        <v>1008</v>
      </c>
      <c r="E679" t="s">
        <v>1009</v>
      </c>
      <c r="F679" t="s">
        <v>17</v>
      </c>
      <c r="G679" t="s">
        <v>532</v>
      </c>
      <c r="H679">
        <v>4.09</v>
      </c>
      <c r="I679">
        <v>93119</v>
      </c>
      <c r="J679" t="s">
        <v>19</v>
      </c>
      <c r="K679">
        <v>145.53</v>
      </c>
      <c r="L679">
        <v>87.317999999999998</v>
      </c>
      <c r="M679">
        <v>0.99</v>
      </c>
      <c r="N679">
        <v>624</v>
      </c>
      <c r="O679" t="s">
        <v>27</v>
      </c>
      <c r="P679">
        <v>3969</v>
      </c>
    </row>
    <row r="680" spans="1:16" x14ac:dyDescent="0.35">
      <c r="A680">
        <v>280</v>
      </c>
      <c r="B680">
        <v>2014</v>
      </c>
      <c r="C680" t="str">
        <f>IF(book_sales[[#This Row],[Publishing Year]]&lt;1900,"Classic (Before 1900)",IF(book_sales[[#This Row],[Publishing Year]]&lt;2000,"20th Century (1900-1999)","21st Century (2000+)"))</f>
        <v>21st Century (2000+)</v>
      </c>
      <c r="D680" t="s">
        <v>533</v>
      </c>
      <c r="E680" t="s">
        <v>534</v>
      </c>
      <c r="F680" t="s">
        <v>23</v>
      </c>
      <c r="G680" t="s">
        <v>24</v>
      </c>
      <c r="H680">
        <v>3.81</v>
      </c>
      <c r="I680">
        <v>100936</v>
      </c>
      <c r="J680" t="s">
        <v>19</v>
      </c>
      <c r="K680">
        <v>2620.7199999999998</v>
      </c>
      <c r="L680">
        <v>1572.432</v>
      </c>
      <c r="M680">
        <v>7.99</v>
      </c>
      <c r="N680">
        <v>303</v>
      </c>
      <c r="O680" t="s">
        <v>46</v>
      </c>
      <c r="P680">
        <v>328</v>
      </c>
    </row>
    <row r="681" spans="1:16" x14ac:dyDescent="0.35">
      <c r="A681">
        <v>966</v>
      </c>
      <c r="B681">
        <v>1952</v>
      </c>
      <c r="C681" t="str">
        <f>IF(book_sales[[#This Row],[Publishing Year]]&lt;1900,"Classic (Before 1900)",IF(book_sales[[#This Row],[Publishing Year]]&lt;2000,"20th Century (1900-1999)","21st Century (2000+)"))</f>
        <v>20th Century (1900-1999)</v>
      </c>
      <c r="D681" t="s">
        <v>1648</v>
      </c>
      <c r="E681" t="s">
        <v>1649</v>
      </c>
      <c r="G681" t="s">
        <v>532</v>
      </c>
      <c r="H681">
        <v>4.0199999999999996</v>
      </c>
      <c r="I681">
        <v>74820</v>
      </c>
      <c r="J681" t="s">
        <v>19</v>
      </c>
      <c r="K681">
        <v>706.32</v>
      </c>
      <c r="L681">
        <v>423.79199999999997</v>
      </c>
      <c r="M681">
        <v>6.48</v>
      </c>
      <c r="N681">
        <v>1141</v>
      </c>
      <c r="O681" t="s">
        <v>31</v>
      </c>
      <c r="P681">
        <v>4240</v>
      </c>
    </row>
    <row r="682" spans="1:16" x14ac:dyDescent="0.35">
      <c r="A682">
        <v>227</v>
      </c>
      <c r="B682">
        <v>2003</v>
      </c>
      <c r="C682" t="str">
        <f>IF(book_sales[[#This Row],[Publishing Year]]&lt;1900,"Classic (Before 1900)",IF(book_sales[[#This Row],[Publishing Year]]&lt;2000,"20th Century (1900-1999)","21st Century (2000+)"))</f>
        <v>21st Century (2000+)</v>
      </c>
      <c r="D682" t="s">
        <v>440</v>
      </c>
      <c r="E682" t="s">
        <v>441</v>
      </c>
      <c r="F682" t="s">
        <v>23</v>
      </c>
      <c r="G682" t="s">
        <v>24</v>
      </c>
      <c r="H682">
        <v>4.05</v>
      </c>
      <c r="I682">
        <v>122502</v>
      </c>
      <c r="J682" t="s">
        <v>41</v>
      </c>
      <c r="K682">
        <v>4473</v>
      </c>
      <c r="L682">
        <v>2683.8</v>
      </c>
      <c r="M682">
        <v>10.65</v>
      </c>
      <c r="N682">
        <v>248</v>
      </c>
      <c r="O682" t="s">
        <v>46</v>
      </c>
      <c r="P682">
        <v>420</v>
      </c>
    </row>
    <row r="683" spans="1:16" x14ac:dyDescent="0.35">
      <c r="A683">
        <v>304</v>
      </c>
      <c r="B683">
        <v>1999</v>
      </c>
      <c r="C683" t="str">
        <f>IF(book_sales[[#This Row],[Publishing Year]]&lt;1900,"Classic (Before 1900)",IF(book_sales[[#This Row],[Publishing Year]]&lt;2000,"20th Century (1900-1999)","21st Century (2000+)"))</f>
        <v>20th Century (1900-1999)</v>
      </c>
      <c r="D683" t="s">
        <v>576</v>
      </c>
      <c r="E683" t="s">
        <v>577</v>
      </c>
      <c r="F683" t="s">
        <v>23</v>
      </c>
      <c r="G683" t="s">
        <v>532</v>
      </c>
      <c r="H683">
        <v>4.3499999999999996</v>
      </c>
      <c r="I683">
        <v>104633</v>
      </c>
      <c r="J683" t="s">
        <v>41</v>
      </c>
      <c r="K683">
        <v>288.08999999999997</v>
      </c>
      <c r="L683">
        <v>172.85400000000001</v>
      </c>
      <c r="M683">
        <v>0.99</v>
      </c>
      <c r="N683">
        <v>325</v>
      </c>
      <c r="O683" t="s">
        <v>578</v>
      </c>
      <c r="P683">
        <v>291</v>
      </c>
    </row>
    <row r="684" spans="1:16" x14ac:dyDescent="0.35">
      <c r="A684">
        <v>595</v>
      </c>
      <c r="B684">
        <v>2005</v>
      </c>
      <c r="C684" t="str">
        <f>IF(book_sales[[#This Row],[Publishing Year]]&lt;1900,"Classic (Before 1900)",IF(book_sales[[#This Row],[Publishing Year]]&lt;2000,"20th Century (1900-1999)","21st Century (2000+)"))</f>
        <v>21st Century (2000+)</v>
      </c>
      <c r="D684" t="s">
        <v>1068</v>
      </c>
      <c r="E684" t="s">
        <v>1069</v>
      </c>
      <c r="F684" t="s">
        <v>23</v>
      </c>
      <c r="G684" t="s">
        <v>532</v>
      </c>
      <c r="H684">
        <v>4.0999999999999996</v>
      </c>
      <c r="I684">
        <v>89733</v>
      </c>
      <c r="J684" t="s">
        <v>41</v>
      </c>
      <c r="K684">
        <v>1225.3599999999999</v>
      </c>
      <c r="L684">
        <v>0</v>
      </c>
      <c r="M684">
        <v>9.01</v>
      </c>
      <c r="N684">
        <v>675</v>
      </c>
      <c r="O684" t="s">
        <v>27</v>
      </c>
      <c r="P684">
        <v>53136</v>
      </c>
    </row>
    <row r="685" spans="1:16" x14ac:dyDescent="0.35">
      <c r="A685">
        <v>167</v>
      </c>
      <c r="B685">
        <v>2008</v>
      </c>
      <c r="C685" t="str">
        <f>IF(book_sales[[#This Row],[Publishing Year]]&lt;1900,"Classic (Before 1900)",IF(book_sales[[#This Row],[Publishing Year]]&lt;2000,"20th Century (1900-1999)","21st Century (2000+)"))</f>
        <v>21st Century (2000+)</v>
      </c>
      <c r="D685" t="s">
        <v>334</v>
      </c>
      <c r="E685" t="s">
        <v>335</v>
      </c>
      <c r="F685" t="s">
        <v>17</v>
      </c>
      <c r="G685" t="s">
        <v>24</v>
      </c>
      <c r="H685">
        <v>4</v>
      </c>
      <c r="I685">
        <v>110939</v>
      </c>
      <c r="J685" t="s">
        <v>19</v>
      </c>
      <c r="K685">
        <v>594</v>
      </c>
      <c r="L685">
        <v>0</v>
      </c>
      <c r="M685">
        <v>0.99</v>
      </c>
      <c r="N685">
        <v>180</v>
      </c>
      <c r="O685" t="s">
        <v>27</v>
      </c>
      <c r="P685">
        <v>600</v>
      </c>
    </row>
    <row r="686" spans="1:16" x14ac:dyDescent="0.35">
      <c r="A686">
        <v>525</v>
      </c>
      <c r="B686">
        <v>2004</v>
      </c>
      <c r="C686" t="str">
        <f>IF(book_sales[[#This Row],[Publishing Year]]&lt;1900,"Classic (Before 1900)",IF(book_sales[[#This Row],[Publishing Year]]&lt;2000,"20th Century (1900-1999)","21st Century (2000+)"))</f>
        <v>21st Century (2000+)</v>
      </c>
      <c r="D686" t="s">
        <v>955</v>
      </c>
      <c r="E686" t="s">
        <v>956</v>
      </c>
      <c r="F686" t="s">
        <v>23</v>
      </c>
      <c r="G686" t="s">
        <v>24</v>
      </c>
      <c r="H686">
        <v>3.86</v>
      </c>
      <c r="I686">
        <v>82535</v>
      </c>
      <c r="J686" t="s">
        <v>19</v>
      </c>
      <c r="K686">
        <v>154.44</v>
      </c>
      <c r="L686">
        <v>0</v>
      </c>
      <c r="M686">
        <v>0.99</v>
      </c>
      <c r="N686">
        <v>585</v>
      </c>
      <c r="O686" t="s">
        <v>27</v>
      </c>
      <c r="P686">
        <v>4212</v>
      </c>
    </row>
    <row r="687" spans="1:16" x14ac:dyDescent="0.35">
      <c r="A687">
        <v>478</v>
      </c>
      <c r="B687">
        <v>2013</v>
      </c>
      <c r="C687" t="str">
        <f>IF(book_sales[[#This Row],[Publishing Year]]&lt;1900,"Classic (Before 1900)",IF(book_sales[[#This Row],[Publishing Year]]&lt;2000,"20th Century (1900-1999)","21st Century (2000+)"))</f>
        <v>21st Century (2000+)</v>
      </c>
      <c r="D687" t="s">
        <v>881</v>
      </c>
      <c r="E687" t="s">
        <v>882</v>
      </c>
      <c r="F687" t="s">
        <v>23</v>
      </c>
      <c r="G687" t="s">
        <v>24</v>
      </c>
      <c r="H687">
        <v>3.54</v>
      </c>
      <c r="I687">
        <v>76566</v>
      </c>
      <c r="J687" t="s">
        <v>19</v>
      </c>
      <c r="K687">
        <v>1342.32</v>
      </c>
      <c r="L687">
        <v>805.39200000000005</v>
      </c>
      <c r="M687">
        <v>7.99</v>
      </c>
      <c r="N687">
        <v>528</v>
      </c>
      <c r="O687" t="s">
        <v>20</v>
      </c>
      <c r="P687">
        <v>4536</v>
      </c>
    </row>
    <row r="688" spans="1:16" x14ac:dyDescent="0.35">
      <c r="A688">
        <v>210</v>
      </c>
      <c r="B688">
        <v>1998</v>
      </c>
      <c r="C688" t="str">
        <f>IF(book_sales[[#This Row],[Publishing Year]]&lt;1900,"Classic (Before 1900)",IF(book_sales[[#This Row],[Publishing Year]]&lt;2000,"20th Century (1900-1999)","21st Century (2000+)"))</f>
        <v>20th Century (1900-1999)</v>
      </c>
      <c r="D688" t="s">
        <v>410</v>
      </c>
      <c r="E688" t="s">
        <v>411</v>
      </c>
      <c r="G688" t="s">
        <v>18</v>
      </c>
      <c r="H688">
        <v>3.29</v>
      </c>
      <c r="I688">
        <v>113977</v>
      </c>
      <c r="J688" t="s">
        <v>41</v>
      </c>
      <c r="K688">
        <v>448.47</v>
      </c>
      <c r="L688">
        <v>0</v>
      </c>
      <c r="M688">
        <v>0.99</v>
      </c>
      <c r="N688">
        <v>228</v>
      </c>
      <c r="O688" t="s">
        <v>27</v>
      </c>
      <c r="P688">
        <v>453</v>
      </c>
    </row>
    <row r="689" spans="1:16" x14ac:dyDescent="0.35">
      <c r="A689">
        <v>450</v>
      </c>
      <c r="B689">
        <v>2006</v>
      </c>
      <c r="C689" t="str">
        <f>IF(book_sales[[#This Row],[Publishing Year]]&lt;1900,"Classic (Before 1900)",IF(book_sales[[#This Row],[Publishing Year]]&lt;2000,"20th Century (1900-1999)","21st Century (2000+)"))</f>
        <v>21st Century (2000+)</v>
      </c>
      <c r="D689" t="s">
        <v>832</v>
      </c>
      <c r="E689" t="s">
        <v>833</v>
      </c>
      <c r="F689" t="s">
        <v>17</v>
      </c>
      <c r="G689" t="s">
        <v>24</v>
      </c>
      <c r="H689">
        <v>3.68</v>
      </c>
      <c r="I689">
        <v>116687</v>
      </c>
      <c r="J689" t="s">
        <v>19</v>
      </c>
      <c r="K689">
        <v>702.24</v>
      </c>
      <c r="L689">
        <v>421.34399999999999</v>
      </c>
      <c r="M689">
        <v>3.99</v>
      </c>
      <c r="N689">
        <v>497</v>
      </c>
      <c r="O689" t="s">
        <v>27</v>
      </c>
      <c r="P689">
        <v>4752</v>
      </c>
    </row>
    <row r="690" spans="1:16" x14ac:dyDescent="0.35">
      <c r="A690">
        <v>1009</v>
      </c>
      <c r="B690">
        <v>2007</v>
      </c>
      <c r="C690" t="str">
        <f>IF(book_sales[[#This Row],[Publishing Year]]&lt;1900,"Classic (Before 1900)",IF(book_sales[[#This Row],[Publishing Year]]&lt;2000,"20th Century (1900-1999)","21st Century (2000+)"))</f>
        <v>21st Century (2000+)</v>
      </c>
      <c r="D690" t="s">
        <v>1712</v>
      </c>
      <c r="E690" t="s">
        <v>833</v>
      </c>
      <c r="F690" t="s">
        <v>17</v>
      </c>
      <c r="G690" t="s">
        <v>24</v>
      </c>
      <c r="H690">
        <v>3.91</v>
      </c>
      <c r="I690">
        <v>76598</v>
      </c>
      <c r="J690" t="s">
        <v>19</v>
      </c>
      <c r="K690">
        <v>106.92</v>
      </c>
      <c r="L690">
        <v>64.152000000000001</v>
      </c>
      <c r="M690">
        <v>0.99</v>
      </c>
      <c r="N690">
        <v>1196</v>
      </c>
      <c r="O690" t="s">
        <v>27</v>
      </c>
      <c r="P690">
        <v>108</v>
      </c>
    </row>
    <row r="691" spans="1:16" x14ac:dyDescent="0.35">
      <c r="A691">
        <v>344</v>
      </c>
      <c r="B691">
        <v>2007</v>
      </c>
      <c r="C691" t="str">
        <f>IF(book_sales[[#This Row],[Publishing Year]]&lt;1900,"Classic (Before 1900)",IF(book_sales[[#This Row],[Publishing Year]]&lt;2000,"20th Century (1900-1999)","21st Century (2000+)"))</f>
        <v>21st Century (2000+)</v>
      </c>
      <c r="D691" t="s">
        <v>651</v>
      </c>
      <c r="E691" t="s">
        <v>652</v>
      </c>
      <c r="F691" t="s">
        <v>17</v>
      </c>
      <c r="G691" t="s">
        <v>24</v>
      </c>
      <c r="H691">
        <v>3.69</v>
      </c>
      <c r="I691">
        <v>131034</v>
      </c>
      <c r="J691" t="s">
        <v>19</v>
      </c>
      <c r="K691">
        <v>1197.5999999999999</v>
      </c>
      <c r="L691">
        <v>718.56</v>
      </c>
      <c r="M691">
        <v>4.99</v>
      </c>
      <c r="N691">
        <v>370</v>
      </c>
      <c r="O691" t="s">
        <v>66</v>
      </c>
      <c r="P691">
        <v>240</v>
      </c>
    </row>
    <row r="692" spans="1:16" x14ac:dyDescent="0.35">
      <c r="A692">
        <v>454</v>
      </c>
      <c r="B692">
        <v>2009</v>
      </c>
      <c r="C692" t="str">
        <f>IF(book_sales[[#This Row],[Publishing Year]]&lt;1900,"Classic (Before 1900)",IF(book_sales[[#This Row],[Publishing Year]]&lt;2000,"20th Century (1900-1999)","21st Century (2000+)"))</f>
        <v>21st Century (2000+)</v>
      </c>
      <c r="D692" t="s">
        <v>840</v>
      </c>
      <c r="E692" t="s">
        <v>841</v>
      </c>
      <c r="F692" t="s">
        <v>17</v>
      </c>
      <c r="G692" t="s">
        <v>532</v>
      </c>
      <c r="H692">
        <v>4.26</v>
      </c>
      <c r="I692">
        <v>37090</v>
      </c>
      <c r="J692" t="s">
        <v>30</v>
      </c>
      <c r="K692">
        <v>1216.26</v>
      </c>
      <c r="L692">
        <v>729.75599999999997</v>
      </c>
      <c r="M692">
        <v>6.99</v>
      </c>
      <c r="N692">
        <v>502</v>
      </c>
      <c r="O692" t="s">
        <v>66</v>
      </c>
      <c r="P692">
        <v>4698</v>
      </c>
    </row>
    <row r="693" spans="1:16" x14ac:dyDescent="0.35">
      <c r="A693">
        <v>623</v>
      </c>
      <c r="B693">
        <v>2003</v>
      </c>
      <c r="C693" t="str">
        <f>IF(book_sales[[#This Row],[Publishing Year]]&lt;1900,"Classic (Before 1900)",IF(book_sales[[#This Row],[Publishing Year]]&lt;2000,"20th Century (1900-1999)","21st Century (2000+)"))</f>
        <v>21st Century (2000+)</v>
      </c>
      <c r="D693" t="s">
        <v>1114</v>
      </c>
      <c r="E693" t="s">
        <v>841</v>
      </c>
      <c r="F693" t="s">
        <v>17</v>
      </c>
      <c r="G693" t="s">
        <v>532</v>
      </c>
      <c r="H693">
        <v>4.24</v>
      </c>
      <c r="I693">
        <v>66406</v>
      </c>
      <c r="J693" t="s">
        <v>19</v>
      </c>
      <c r="K693">
        <v>127.71</v>
      </c>
      <c r="L693">
        <v>0</v>
      </c>
      <c r="M693">
        <v>0.99</v>
      </c>
      <c r="N693">
        <v>708</v>
      </c>
      <c r="O693" t="s">
        <v>27</v>
      </c>
      <c r="P693">
        <v>47952</v>
      </c>
    </row>
    <row r="694" spans="1:16" x14ac:dyDescent="0.35">
      <c r="A694">
        <v>818</v>
      </c>
      <c r="B694">
        <v>2006</v>
      </c>
      <c r="C694" t="str">
        <f>IF(book_sales[[#This Row],[Publishing Year]]&lt;1900,"Classic (Before 1900)",IF(book_sales[[#This Row],[Publishing Year]]&lt;2000,"20th Century (1900-1999)","21st Century (2000+)"))</f>
        <v>21st Century (2000+)</v>
      </c>
      <c r="D694" t="s">
        <v>1427</v>
      </c>
      <c r="E694" t="s">
        <v>841</v>
      </c>
      <c r="F694" t="s">
        <v>23</v>
      </c>
      <c r="G694" t="s">
        <v>532</v>
      </c>
      <c r="H694">
        <v>4.16</v>
      </c>
      <c r="I694">
        <v>37792</v>
      </c>
      <c r="J694" t="s">
        <v>608</v>
      </c>
      <c r="K694">
        <v>226.86</v>
      </c>
      <c r="L694">
        <v>136.11600000000001</v>
      </c>
      <c r="M694">
        <v>1.99</v>
      </c>
      <c r="N694">
        <v>956</v>
      </c>
      <c r="O694" t="s">
        <v>20</v>
      </c>
      <c r="P694">
        <v>2889</v>
      </c>
    </row>
    <row r="695" spans="1:16" x14ac:dyDescent="0.35">
      <c r="A695">
        <v>154</v>
      </c>
      <c r="B695">
        <v>2008</v>
      </c>
      <c r="C695" t="str">
        <f>IF(book_sales[[#This Row],[Publishing Year]]&lt;1900,"Classic (Before 1900)",IF(book_sales[[#This Row],[Publishing Year]]&lt;2000,"20th Century (1900-1999)","21st Century (2000+)"))</f>
        <v>21st Century (2000+)</v>
      </c>
      <c r="D695" t="s">
        <v>314</v>
      </c>
      <c r="E695" t="s">
        <v>315</v>
      </c>
      <c r="F695" t="s">
        <v>23</v>
      </c>
      <c r="G695" t="s">
        <v>24</v>
      </c>
      <c r="H695">
        <v>3.85</v>
      </c>
      <c r="I695">
        <v>144606</v>
      </c>
      <c r="J695" t="s">
        <v>19</v>
      </c>
      <c r="K695">
        <v>3678.3</v>
      </c>
      <c r="L695">
        <v>2206.98</v>
      </c>
      <c r="M695">
        <v>5.49</v>
      </c>
      <c r="N695">
        <v>166</v>
      </c>
      <c r="O695" t="s">
        <v>27</v>
      </c>
      <c r="P695">
        <v>670</v>
      </c>
    </row>
    <row r="696" spans="1:16" x14ac:dyDescent="0.35">
      <c r="A696">
        <v>371</v>
      </c>
      <c r="B696">
        <v>1992</v>
      </c>
      <c r="C696" t="str">
        <f>IF(book_sales[[#This Row],[Publishing Year]]&lt;1900,"Classic (Before 1900)",IF(book_sales[[#This Row],[Publishing Year]]&lt;2000,"20th Century (1900-1999)","21st Century (2000+)"))</f>
        <v>20th Century (1900-1999)</v>
      </c>
      <c r="D696" t="s">
        <v>697</v>
      </c>
      <c r="E696" t="s">
        <v>698</v>
      </c>
      <c r="F696" t="s">
        <v>23</v>
      </c>
      <c r="G696" t="s">
        <v>532</v>
      </c>
      <c r="H696">
        <v>4.08</v>
      </c>
      <c r="I696">
        <v>98591</v>
      </c>
      <c r="J696" t="s">
        <v>41</v>
      </c>
      <c r="K696">
        <v>1274.56</v>
      </c>
      <c r="L696">
        <v>764.73599999999999</v>
      </c>
      <c r="M696">
        <v>5.69</v>
      </c>
      <c r="N696">
        <v>401</v>
      </c>
      <c r="O696" t="s">
        <v>27</v>
      </c>
      <c r="P696">
        <v>6048</v>
      </c>
    </row>
    <row r="697" spans="1:16" x14ac:dyDescent="0.35">
      <c r="A697">
        <v>44</v>
      </c>
      <c r="B697">
        <v>1999</v>
      </c>
      <c r="C697" t="str">
        <f>IF(book_sales[[#This Row],[Publishing Year]]&lt;1900,"Classic (Before 1900)",IF(book_sales[[#This Row],[Publishing Year]]&lt;2000,"20th Century (1900-1999)","21st Century (2000+)"))</f>
        <v>20th Century (1900-1999)</v>
      </c>
      <c r="D697" t="s">
        <v>112</v>
      </c>
      <c r="E697" t="s">
        <v>113</v>
      </c>
      <c r="F697" t="s">
        <v>17</v>
      </c>
      <c r="G697" t="s">
        <v>24</v>
      </c>
      <c r="H697">
        <v>3.83</v>
      </c>
      <c r="I697">
        <v>148563</v>
      </c>
      <c r="J697" t="s">
        <v>19</v>
      </c>
      <c r="K697">
        <v>12791.7</v>
      </c>
      <c r="L697">
        <v>7675.02</v>
      </c>
      <c r="M697">
        <v>6.99</v>
      </c>
      <c r="N697">
        <v>46</v>
      </c>
      <c r="O697" t="s">
        <v>27</v>
      </c>
      <c r="P697">
        <v>1830</v>
      </c>
    </row>
    <row r="698" spans="1:16" x14ac:dyDescent="0.35">
      <c r="A698">
        <v>109</v>
      </c>
      <c r="B698">
        <v>2002</v>
      </c>
      <c r="C698" t="str">
        <f>IF(book_sales[[#This Row],[Publishing Year]]&lt;1900,"Classic (Before 1900)",IF(book_sales[[#This Row],[Publishing Year]]&lt;2000,"20th Century (1900-1999)","21st Century (2000+)"))</f>
        <v>21st Century (2000+)</v>
      </c>
      <c r="D698" t="s">
        <v>236</v>
      </c>
      <c r="E698" t="s">
        <v>113</v>
      </c>
      <c r="G698" t="s">
        <v>24</v>
      </c>
      <c r="H698">
        <v>3.72</v>
      </c>
      <c r="I698">
        <v>131352</v>
      </c>
      <c r="J698" t="s">
        <v>19</v>
      </c>
      <c r="K698">
        <v>1850.7</v>
      </c>
      <c r="L698">
        <v>0</v>
      </c>
      <c r="M698">
        <v>1.99</v>
      </c>
      <c r="N698">
        <v>114</v>
      </c>
      <c r="O698" t="s">
        <v>27</v>
      </c>
      <c r="P698">
        <v>930</v>
      </c>
    </row>
    <row r="699" spans="1:16" x14ac:dyDescent="0.35">
      <c r="A699">
        <v>129</v>
      </c>
      <c r="B699">
        <v>1980</v>
      </c>
      <c r="C699" t="str">
        <f>IF(book_sales[[#This Row],[Publishing Year]]&lt;1900,"Classic (Before 1900)",IF(book_sales[[#This Row],[Publishing Year]]&lt;2000,"20th Century (1900-1999)","21st Century (2000+)"))</f>
        <v>20th Century (1900-1999)</v>
      </c>
      <c r="D699" t="s">
        <v>271</v>
      </c>
      <c r="E699" t="s">
        <v>113</v>
      </c>
      <c r="F699" t="s">
        <v>23</v>
      </c>
      <c r="G699" t="s">
        <v>24</v>
      </c>
      <c r="H699">
        <v>3.55</v>
      </c>
      <c r="I699">
        <v>129811</v>
      </c>
      <c r="J699" t="s">
        <v>41</v>
      </c>
      <c r="K699">
        <v>5696.85</v>
      </c>
      <c r="L699">
        <v>3418.11</v>
      </c>
      <c r="M699">
        <v>6.99</v>
      </c>
      <c r="N699">
        <v>137</v>
      </c>
      <c r="O699" t="s">
        <v>46</v>
      </c>
      <c r="P699">
        <v>815</v>
      </c>
    </row>
    <row r="700" spans="1:16" x14ac:dyDescent="0.35">
      <c r="A700">
        <v>162</v>
      </c>
      <c r="B700">
        <v>1987</v>
      </c>
      <c r="C700" t="str">
        <f>IF(book_sales[[#This Row],[Publishing Year]]&lt;1900,"Classic (Before 1900)",IF(book_sales[[#This Row],[Publishing Year]]&lt;2000,"20th Century (1900-1999)","21st Century (2000+)"))</f>
        <v>20th Century (1900-1999)</v>
      </c>
      <c r="D700" t="s">
        <v>326</v>
      </c>
      <c r="E700" t="s">
        <v>113</v>
      </c>
      <c r="F700" t="s">
        <v>23</v>
      </c>
      <c r="G700" t="s">
        <v>24</v>
      </c>
      <c r="H700">
        <v>3.77</v>
      </c>
      <c r="I700">
        <v>128244</v>
      </c>
      <c r="J700" t="s">
        <v>19</v>
      </c>
      <c r="K700">
        <v>4473.6000000000004</v>
      </c>
      <c r="L700">
        <v>2684.16</v>
      </c>
      <c r="M700">
        <v>6.99</v>
      </c>
      <c r="N700">
        <v>172</v>
      </c>
      <c r="O700" t="s">
        <v>46</v>
      </c>
      <c r="P700">
        <v>640</v>
      </c>
    </row>
    <row r="701" spans="1:16" x14ac:dyDescent="0.35">
      <c r="A701">
        <v>586</v>
      </c>
      <c r="B701">
        <v>1995</v>
      </c>
      <c r="C701" t="str">
        <f>IF(book_sales[[#This Row],[Publishing Year]]&lt;1900,"Classic (Before 1900)",IF(book_sales[[#This Row],[Publishing Year]]&lt;2000,"20th Century (1900-1999)","21st Century (2000+)"))</f>
        <v>20th Century (1900-1999)</v>
      </c>
      <c r="D701" t="s">
        <v>1057</v>
      </c>
      <c r="E701" t="s">
        <v>113</v>
      </c>
      <c r="F701" t="s">
        <v>23</v>
      </c>
      <c r="G701" t="s">
        <v>24</v>
      </c>
      <c r="H701">
        <v>3.72</v>
      </c>
      <c r="I701">
        <v>83389</v>
      </c>
      <c r="J701" t="s">
        <v>19</v>
      </c>
      <c r="K701">
        <v>1398.6</v>
      </c>
      <c r="L701">
        <v>839.16</v>
      </c>
      <c r="M701">
        <v>9.99</v>
      </c>
      <c r="N701">
        <v>658</v>
      </c>
      <c r="O701" t="s">
        <v>27</v>
      </c>
      <c r="P701">
        <v>55728</v>
      </c>
    </row>
    <row r="702" spans="1:16" x14ac:dyDescent="0.35">
      <c r="A702">
        <v>765</v>
      </c>
      <c r="B702">
        <v>2004</v>
      </c>
      <c r="C702" t="str">
        <f>IF(book_sales[[#This Row],[Publishing Year]]&lt;1900,"Classic (Before 1900)",IF(book_sales[[#This Row],[Publishing Year]]&lt;2000,"20th Century (1900-1999)","21st Century (2000+)"))</f>
        <v>21st Century (2000+)</v>
      </c>
      <c r="D702" t="s">
        <v>1343</v>
      </c>
      <c r="E702" t="s">
        <v>113</v>
      </c>
      <c r="F702" t="s">
        <v>23</v>
      </c>
      <c r="G702" t="s">
        <v>24</v>
      </c>
      <c r="H702">
        <v>3.69</v>
      </c>
      <c r="I702">
        <v>65397</v>
      </c>
      <c r="J702" t="s">
        <v>19</v>
      </c>
      <c r="K702">
        <v>114.84</v>
      </c>
      <c r="L702">
        <v>68.903999999999996</v>
      </c>
      <c r="M702">
        <v>0.99</v>
      </c>
      <c r="N702">
        <v>885</v>
      </c>
      <c r="O702" t="s">
        <v>27</v>
      </c>
      <c r="P702">
        <v>30240</v>
      </c>
    </row>
    <row r="703" spans="1:16" x14ac:dyDescent="0.35">
      <c r="A703">
        <v>1033</v>
      </c>
      <c r="B703">
        <v>1994</v>
      </c>
      <c r="C703" t="str">
        <f>IF(book_sales[[#This Row],[Publishing Year]]&lt;1900,"Classic (Before 1900)",IF(book_sales[[#This Row],[Publishing Year]]&lt;2000,"20th Century (1900-1999)","21st Century (2000+)"))</f>
        <v>20th Century (1900-1999)</v>
      </c>
      <c r="D703" t="s">
        <v>1746</v>
      </c>
      <c r="E703" t="s">
        <v>113</v>
      </c>
      <c r="G703" t="s">
        <v>24</v>
      </c>
      <c r="H703">
        <v>3.76</v>
      </c>
      <c r="I703">
        <v>57818</v>
      </c>
      <c r="J703" t="s">
        <v>19</v>
      </c>
      <c r="K703">
        <v>854.93</v>
      </c>
      <c r="L703">
        <v>512.95799999999997</v>
      </c>
      <c r="M703">
        <v>7.99</v>
      </c>
      <c r="N703">
        <v>1219</v>
      </c>
      <c r="O703" t="s">
        <v>46</v>
      </c>
      <c r="P703">
        <v>107</v>
      </c>
    </row>
    <row r="704" spans="1:16" x14ac:dyDescent="0.35">
      <c r="A704">
        <v>1061</v>
      </c>
      <c r="B704">
        <v>1996</v>
      </c>
      <c r="C704" t="str">
        <f>IF(book_sales[[#This Row],[Publishing Year]]&lt;1900,"Classic (Before 1900)",IF(book_sales[[#This Row],[Publishing Year]]&lt;2000,"20th Century (1900-1999)","21st Century (2000+)"))</f>
        <v>20th Century (1900-1999)</v>
      </c>
      <c r="D704" t="s">
        <v>1792</v>
      </c>
      <c r="E704" t="s">
        <v>113</v>
      </c>
      <c r="F704" t="s">
        <v>23</v>
      </c>
      <c r="G704" t="s">
        <v>24</v>
      </c>
      <c r="H704">
        <v>3.66</v>
      </c>
      <c r="I704">
        <v>59229</v>
      </c>
      <c r="J704" t="s">
        <v>19</v>
      </c>
      <c r="K704">
        <v>104.94</v>
      </c>
      <c r="L704">
        <v>0</v>
      </c>
      <c r="M704">
        <v>0.99</v>
      </c>
      <c r="N704">
        <v>1263</v>
      </c>
      <c r="O704" t="s">
        <v>27</v>
      </c>
      <c r="P704">
        <v>106</v>
      </c>
    </row>
    <row r="705" spans="1:16" x14ac:dyDescent="0.35">
      <c r="A705">
        <v>410</v>
      </c>
      <c r="B705">
        <v>1998</v>
      </c>
      <c r="C705" t="str">
        <f>IF(book_sales[[#This Row],[Publishing Year]]&lt;1900,"Classic (Before 1900)",IF(book_sales[[#This Row],[Publishing Year]]&lt;2000,"20th Century (1900-1999)","21st Century (2000+)"))</f>
        <v>20th Century (1900-1999)</v>
      </c>
      <c r="D705" t="s">
        <v>770</v>
      </c>
      <c r="E705" t="s">
        <v>771</v>
      </c>
      <c r="F705" t="s">
        <v>17</v>
      </c>
      <c r="G705" t="s">
        <v>24</v>
      </c>
      <c r="H705">
        <v>3.91</v>
      </c>
      <c r="I705">
        <v>97462</v>
      </c>
      <c r="J705" t="s">
        <v>19</v>
      </c>
      <c r="K705">
        <v>500</v>
      </c>
      <c r="L705">
        <v>300</v>
      </c>
      <c r="M705">
        <v>2.5</v>
      </c>
      <c r="N705">
        <v>449</v>
      </c>
      <c r="O705" t="s">
        <v>20</v>
      </c>
      <c r="P705">
        <v>5400</v>
      </c>
    </row>
    <row r="706" spans="1:16" x14ac:dyDescent="0.35">
      <c r="A706">
        <v>346</v>
      </c>
      <c r="B706">
        <v>1979</v>
      </c>
      <c r="C706" t="str">
        <f>IF(book_sales[[#This Row],[Publishing Year]]&lt;1900,"Classic (Before 1900)",IF(book_sales[[#This Row],[Publishing Year]]&lt;2000,"20th Century (1900-1999)","21st Century (2000+)"))</f>
        <v>20th Century (1900-1999)</v>
      </c>
      <c r="D706" t="s">
        <v>655</v>
      </c>
      <c r="E706" t="s">
        <v>656</v>
      </c>
      <c r="F706" t="s">
        <v>23</v>
      </c>
      <c r="G706" t="s">
        <v>532</v>
      </c>
      <c r="H706">
        <v>4.17</v>
      </c>
      <c r="I706">
        <v>109110</v>
      </c>
      <c r="J706" t="s">
        <v>19</v>
      </c>
      <c r="K706">
        <v>953.61</v>
      </c>
      <c r="L706">
        <v>0</v>
      </c>
      <c r="M706">
        <v>3.99</v>
      </c>
      <c r="N706">
        <v>372</v>
      </c>
      <c r="O706" t="s">
        <v>27</v>
      </c>
      <c r="P706">
        <v>239</v>
      </c>
    </row>
    <row r="707" spans="1:16" x14ac:dyDescent="0.35">
      <c r="A707">
        <v>602</v>
      </c>
      <c r="B707">
        <v>1992</v>
      </c>
      <c r="C707" t="str">
        <f>IF(book_sales[[#This Row],[Publishing Year]]&lt;1900,"Classic (Before 1900)",IF(book_sales[[#This Row],[Publishing Year]]&lt;2000,"20th Century (1900-1999)","21st Century (2000+)"))</f>
        <v>20th Century (1900-1999)</v>
      </c>
      <c r="D707" t="s">
        <v>1080</v>
      </c>
      <c r="E707" t="s">
        <v>1081</v>
      </c>
      <c r="G707" t="s">
        <v>24</v>
      </c>
      <c r="H707">
        <v>3.88</v>
      </c>
      <c r="I707">
        <v>83741</v>
      </c>
      <c r="J707" t="s">
        <v>19</v>
      </c>
      <c r="K707">
        <v>663.67</v>
      </c>
      <c r="L707">
        <v>0</v>
      </c>
      <c r="M707">
        <v>4.99</v>
      </c>
      <c r="N707">
        <v>688</v>
      </c>
      <c r="O707" t="s">
        <v>27</v>
      </c>
      <c r="P707">
        <v>51840</v>
      </c>
    </row>
    <row r="708" spans="1:16" x14ac:dyDescent="0.35">
      <c r="A708">
        <v>19</v>
      </c>
      <c r="B708">
        <v>2006</v>
      </c>
      <c r="C708" t="str">
        <f>IF(book_sales[[#This Row],[Publishing Year]]&lt;1900,"Classic (Before 1900)",IF(book_sales[[#This Row],[Publishing Year]]&lt;2000,"20th Century (1900-1999)","21st Century (2000+)"))</f>
        <v>21st Century (2000+)</v>
      </c>
      <c r="D708" t="s">
        <v>67</v>
      </c>
      <c r="E708" t="s">
        <v>68</v>
      </c>
      <c r="F708" t="s">
        <v>23</v>
      </c>
      <c r="G708" t="s">
        <v>24</v>
      </c>
      <c r="H708">
        <v>4.17</v>
      </c>
      <c r="I708">
        <v>133271</v>
      </c>
      <c r="J708" t="s">
        <v>19</v>
      </c>
      <c r="K708">
        <v>3035.34</v>
      </c>
      <c r="L708">
        <v>0</v>
      </c>
      <c r="M708">
        <v>0.99</v>
      </c>
      <c r="N708">
        <v>19</v>
      </c>
      <c r="O708" t="s">
        <v>27</v>
      </c>
      <c r="P708">
        <v>3066</v>
      </c>
    </row>
    <row r="709" spans="1:16" x14ac:dyDescent="0.35">
      <c r="A709">
        <v>529</v>
      </c>
      <c r="B709">
        <v>2007</v>
      </c>
      <c r="C709" t="str">
        <f>IF(book_sales[[#This Row],[Publishing Year]]&lt;1900,"Classic (Before 1900)",IF(book_sales[[#This Row],[Publishing Year]]&lt;2000,"20th Century (1900-1999)","21st Century (2000+)"))</f>
        <v>21st Century (2000+)</v>
      </c>
      <c r="D709" t="s">
        <v>961</v>
      </c>
      <c r="E709" t="s">
        <v>68</v>
      </c>
      <c r="F709" t="s">
        <v>17</v>
      </c>
      <c r="G709" t="s">
        <v>532</v>
      </c>
      <c r="H709">
        <v>4.07</v>
      </c>
      <c r="I709">
        <v>80434</v>
      </c>
      <c r="J709" t="s">
        <v>19</v>
      </c>
      <c r="K709">
        <v>618.45000000000005</v>
      </c>
      <c r="L709">
        <v>0</v>
      </c>
      <c r="M709">
        <v>3.99</v>
      </c>
      <c r="N709">
        <v>589</v>
      </c>
      <c r="O709" t="s">
        <v>27</v>
      </c>
      <c r="P709">
        <v>4185</v>
      </c>
    </row>
    <row r="710" spans="1:16" x14ac:dyDescent="0.35">
      <c r="A710">
        <v>392</v>
      </c>
      <c r="B710">
        <v>2007</v>
      </c>
      <c r="C710" t="str">
        <f>IF(book_sales[[#This Row],[Publishing Year]]&lt;1900,"Classic (Before 1900)",IF(book_sales[[#This Row],[Publishing Year]]&lt;2000,"20th Century (1900-1999)","21st Century (2000+)"))</f>
        <v>21st Century (2000+)</v>
      </c>
      <c r="D710" t="s">
        <v>736</v>
      </c>
      <c r="E710" t="s">
        <v>737</v>
      </c>
      <c r="F710" t="s">
        <v>23</v>
      </c>
      <c r="G710" t="s">
        <v>24</v>
      </c>
      <c r="H710">
        <v>3.84</v>
      </c>
      <c r="I710">
        <v>58396</v>
      </c>
      <c r="J710" t="s">
        <v>19</v>
      </c>
      <c r="K710">
        <v>1693.88</v>
      </c>
      <c r="L710">
        <v>1016.328</v>
      </c>
      <c r="M710">
        <v>7.99</v>
      </c>
      <c r="N710">
        <v>425</v>
      </c>
      <c r="O710" t="s">
        <v>34</v>
      </c>
      <c r="P710">
        <v>5724</v>
      </c>
    </row>
    <row r="711" spans="1:16" x14ac:dyDescent="0.35">
      <c r="A711">
        <v>1021</v>
      </c>
      <c r="B711">
        <v>1974</v>
      </c>
      <c r="C711" t="str">
        <f>IF(book_sales[[#This Row],[Publishing Year]]&lt;1900,"Classic (Before 1900)",IF(book_sales[[#This Row],[Publishing Year]]&lt;2000,"20th Century (1900-1999)","21st Century (2000+)"))</f>
        <v>20th Century (1900-1999)</v>
      </c>
      <c r="D711" t="s">
        <v>1730</v>
      </c>
      <c r="E711" t="s">
        <v>1731</v>
      </c>
      <c r="F711" t="s">
        <v>17</v>
      </c>
      <c r="G711" t="s">
        <v>532</v>
      </c>
      <c r="H711">
        <v>4.3</v>
      </c>
      <c r="I711">
        <v>58372</v>
      </c>
      <c r="J711" t="s">
        <v>41</v>
      </c>
      <c r="K711">
        <v>105.93</v>
      </c>
      <c r="L711">
        <v>63.558</v>
      </c>
      <c r="M711">
        <v>0.99</v>
      </c>
      <c r="N711">
        <v>1203</v>
      </c>
      <c r="O711" t="s">
        <v>27</v>
      </c>
      <c r="P711">
        <v>107</v>
      </c>
    </row>
    <row r="712" spans="1:16" x14ac:dyDescent="0.35">
      <c r="A712">
        <v>464</v>
      </c>
      <c r="B712">
        <v>2011</v>
      </c>
      <c r="C712" t="str">
        <f>IF(book_sales[[#This Row],[Publishing Year]]&lt;1900,"Classic (Before 1900)",IF(book_sales[[#This Row],[Publishing Year]]&lt;2000,"20th Century (1900-1999)","21st Century (2000+)"))</f>
        <v>21st Century (2000+)</v>
      </c>
      <c r="D712" t="s">
        <v>857</v>
      </c>
      <c r="E712" t="s">
        <v>858</v>
      </c>
      <c r="F712" t="s">
        <v>23</v>
      </c>
      <c r="G712" t="s">
        <v>532</v>
      </c>
      <c r="H712">
        <v>4.09</v>
      </c>
      <c r="I712">
        <v>83847</v>
      </c>
      <c r="J712" t="s">
        <v>30</v>
      </c>
      <c r="K712">
        <v>1879.29</v>
      </c>
      <c r="L712">
        <v>1127.5740000000001</v>
      </c>
      <c r="M712">
        <v>10.99</v>
      </c>
      <c r="N712">
        <v>516</v>
      </c>
      <c r="O712" t="s">
        <v>133</v>
      </c>
      <c r="P712">
        <v>4617</v>
      </c>
    </row>
    <row r="713" spans="1:16" x14ac:dyDescent="0.35">
      <c r="A713">
        <v>66</v>
      </c>
      <c r="B713">
        <v>1605</v>
      </c>
      <c r="C713" t="str">
        <f>IF(book_sales[[#This Row],[Publishing Year]]&lt;1900,"Classic (Before 1900)",IF(book_sales[[#This Row],[Publishing Year]]&lt;2000,"20th Century (1900-1999)","21st Century (2000+)"))</f>
        <v>Classic (Before 1900)</v>
      </c>
      <c r="D713" t="s">
        <v>159</v>
      </c>
      <c r="E713" t="s">
        <v>160</v>
      </c>
      <c r="F713" t="s">
        <v>23</v>
      </c>
      <c r="G713" t="s">
        <v>24</v>
      </c>
      <c r="H713">
        <v>3.85</v>
      </c>
      <c r="I713">
        <v>134931</v>
      </c>
      <c r="J713" t="s">
        <v>19</v>
      </c>
      <c r="K713">
        <v>13413.08</v>
      </c>
      <c r="L713">
        <v>8047.848</v>
      </c>
      <c r="M713">
        <v>8.99</v>
      </c>
      <c r="N713">
        <v>68</v>
      </c>
      <c r="O713" t="s">
        <v>31</v>
      </c>
      <c r="P713">
        <v>1492</v>
      </c>
    </row>
    <row r="714" spans="1:16" x14ac:dyDescent="0.35">
      <c r="A714">
        <v>259</v>
      </c>
      <c r="B714">
        <v>1997</v>
      </c>
      <c r="C714" t="str">
        <f>IF(book_sales[[#This Row],[Publishing Year]]&lt;1900,"Classic (Before 1900)",IF(book_sales[[#This Row],[Publishing Year]]&lt;2000,"20th Century (1900-1999)","21st Century (2000+)"))</f>
        <v>20th Century (1900-1999)</v>
      </c>
      <c r="D714" t="s">
        <v>495</v>
      </c>
      <c r="E714" t="s">
        <v>496</v>
      </c>
      <c r="G714" t="s">
        <v>24</v>
      </c>
      <c r="H714">
        <v>4.12</v>
      </c>
      <c r="I714">
        <v>97016</v>
      </c>
      <c r="J714" t="s">
        <v>19</v>
      </c>
      <c r="K714">
        <v>4388.34</v>
      </c>
      <c r="L714">
        <v>2633.0039999999999</v>
      </c>
      <c r="M714">
        <v>11.99</v>
      </c>
      <c r="N714">
        <v>280</v>
      </c>
      <c r="O714" t="s">
        <v>34</v>
      </c>
      <c r="P714">
        <v>366</v>
      </c>
    </row>
    <row r="715" spans="1:16" x14ac:dyDescent="0.35">
      <c r="A715">
        <v>61</v>
      </c>
      <c r="B715">
        <v>1967</v>
      </c>
      <c r="C715" t="str">
        <f>IF(book_sales[[#This Row],[Publishing Year]]&lt;1900,"Classic (Before 1900)",IF(book_sales[[#This Row],[Publishing Year]]&lt;2000,"20th Century (1900-1999)","21st Century (2000+)"))</f>
        <v>20th Century (1900-1999)</v>
      </c>
      <c r="D715" t="s">
        <v>149</v>
      </c>
      <c r="E715" t="s">
        <v>150</v>
      </c>
      <c r="F715" t="s">
        <v>23</v>
      </c>
      <c r="G715" t="s">
        <v>24</v>
      </c>
      <c r="H715">
        <v>4.32</v>
      </c>
      <c r="I715">
        <v>131389</v>
      </c>
      <c r="J715" t="s">
        <v>19</v>
      </c>
      <c r="K715">
        <v>6320.16</v>
      </c>
      <c r="L715">
        <v>0</v>
      </c>
      <c r="M715">
        <v>3.99</v>
      </c>
      <c r="N715">
        <v>62</v>
      </c>
      <c r="O715" t="s">
        <v>27</v>
      </c>
      <c r="P715">
        <v>1584</v>
      </c>
    </row>
    <row r="716" spans="1:16" x14ac:dyDescent="0.35">
      <c r="A716">
        <v>507</v>
      </c>
      <c r="B716">
        <v>1976</v>
      </c>
      <c r="C716" t="str">
        <f>IF(book_sales[[#This Row],[Publishing Year]]&lt;1900,"Classic (Before 1900)",IF(book_sales[[#This Row],[Publishing Year]]&lt;2000,"20th Century (1900-1999)","21st Century (2000+)"))</f>
        <v>20th Century (1900-1999)</v>
      </c>
      <c r="D716" t="s">
        <v>924</v>
      </c>
      <c r="E716" t="s">
        <v>925</v>
      </c>
      <c r="F716" t="s">
        <v>23</v>
      </c>
      <c r="G716" t="s">
        <v>24</v>
      </c>
      <c r="H716">
        <v>3.79</v>
      </c>
      <c r="I716">
        <v>92980</v>
      </c>
      <c r="J716" t="s">
        <v>41</v>
      </c>
      <c r="K716">
        <v>642.39</v>
      </c>
      <c r="L716">
        <v>385.43400000000003</v>
      </c>
      <c r="M716">
        <v>3.99</v>
      </c>
      <c r="N716">
        <v>561</v>
      </c>
      <c r="O716" t="s">
        <v>31</v>
      </c>
      <c r="P716">
        <v>4347</v>
      </c>
    </row>
    <row r="717" spans="1:16" x14ac:dyDescent="0.35">
      <c r="A717">
        <v>513</v>
      </c>
      <c r="B717">
        <v>2015</v>
      </c>
      <c r="C717" t="str">
        <f>IF(book_sales[[#This Row],[Publishing Year]]&lt;1900,"Classic (Before 1900)",IF(book_sales[[#This Row],[Publishing Year]]&lt;2000,"20th Century (1900-1999)","21st Century (2000+)"))</f>
        <v>21st Century (2000+)</v>
      </c>
      <c r="D717" t="s">
        <v>934</v>
      </c>
      <c r="E717" t="s">
        <v>935</v>
      </c>
      <c r="F717" t="s">
        <v>23</v>
      </c>
      <c r="G717" t="s">
        <v>24</v>
      </c>
      <c r="H717">
        <v>3.89</v>
      </c>
      <c r="I717">
        <v>74199</v>
      </c>
      <c r="J717" t="s">
        <v>19</v>
      </c>
      <c r="K717">
        <v>1598.4</v>
      </c>
      <c r="L717">
        <v>959.04</v>
      </c>
      <c r="M717">
        <v>9.99</v>
      </c>
      <c r="N717">
        <v>568</v>
      </c>
      <c r="O717" t="s">
        <v>46</v>
      </c>
      <c r="P717">
        <v>4320</v>
      </c>
    </row>
    <row r="718" spans="1:16" x14ac:dyDescent="0.35">
      <c r="A718">
        <v>253</v>
      </c>
      <c r="B718">
        <v>2006</v>
      </c>
      <c r="C718" t="str">
        <f>IF(book_sales[[#This Row],[Publishing Year]]&lt;1900,"Classic (Before 1900)",IF(book_sales[[#This Row],[Publishing Year]]&lt;2000,"20th Century (1900-1999)","21st Century (2000+)"))</f>
        <v>21st Century (2000+)</v>
      </c>
      <c r="D718" t="s">
        <v>484</v>
      </c>
      <c r="E718" t="s">
        <v>485</v>
      </c>
      <c r="F718" t="s">
        <v>17</v>
      </c>
      <c r="G718" t="s">
        <v>24</v>
      </c>
      <c r="H718">
        <v>4.09</v>
      </c>
      <c r="I718">
        <v>102193</v>
      </c>
      <c r="J718" t="s">
        <v>19</v>
      </c>
      <c r="K718">
        <v>1488.27</v>
      </c>
      <c r="L718">
        <v>0</v>
      </c>
      <c r="M718">
        <v>3.99</v>
      </c>
      <c r="N718">
        <v>276</v>
      </c>
      <c r="O718" t="s">
        <v>27</v>
      </c>
      <c r="P718">
        <v>373</v>
      </c>
    </row>
    <row r="719" spans="1:16" x14ac:dyDescent="0.35">
      <c r="A719">
        <v>621</v>
      </c>
      <c r="B719">
        <v>2012</v>
      </c>
      <c r="C719" t="str">
        <f>IF(book_sales[[#This Row],[Publishing Year]]&lt;1900,"Classic (Before 1900)",IF(book_sales[[#This Row],[Publishing Year]]&lt;2000,"20th Century (1900-1999)","21st Century (2000+)"))</f>
        <v>21st Century (2000+)</v>
      </c>
      <c r="D719" t="s">
        <v>1112</v>
      </c>
      <c r="E719" t="s">
        <v>485</v>
      </c>
      <c r="F719" t="s">
        <v>23</v>
      </c>
      <c r="G719" t="s">
        <v>24</v>
      </c>
      <c r="H719">
        <v>3.85</v>
      </c>
      <c r="I719">
        <v>72277</v>
      </c>
      <c r="J719" t="s">
        <v>19</v>
      </c>
      <c r="K719">
        <v>127.71</v>
      </c>
      <c r="L719">
        <v>0</v>
      </c>
      <c r="M719">
        <v>0.99</v>
      </c>
      <c r="N719">
        <v>707</v>
      </c>
      <c r="O719" t="s">
        <v>27</v>
      </c>
      <c r="P719">
        <v>48384</v>
      </c>
    </row>
    <row r="720" spans="1:16" x14ac:dyDescent="0.35">
      <c r="A720">
        <v>909</v>
      </c>
      <c r="B720">
        <v>2009</v>
      </c>
      <c r="C720" t="str">
        <f>IF(book_sales[[#This Row],[Publishing Year]]&lt;1900,"Classic (Before 1900)",IF(book_sales[[#This Row],[Publishing Year]]&lt;2000,"20th Century (1900-1999)","21st Century (2000+)"))</f>
        <v>21st Century (2000+)</v>
      </c>
      <c r="D720" t="s">
        <v>1555</v>
      </c>
      <c r="E720" t="s">
        <v>485</v>
      </c>
      <c r="F720" t="s">
        <v>17</v>
      </c>
      <c r="G720" t="s">
        <v>532</v>
      </c>
      <c r="H720">
        <v>4.16</v>
      </c>
      <c r="I720">
        <v>60002</v>
      </c>
      <c r="J720" t="s">
        <v>41</v>
      </c>
      <c r="K720">
        <v>220.89</v>
      </c>
      <c r="L720">
        <v>132.53399999999999</v>
      </c>
      <c r="M720">
        <v>1.99</v>
      </c>
      <c r="N720">
        <v>1066</v>
      </c>
      <c r="O720" t="s">
        <v>31</v>
      </c>
      <c r="P720">
        <v>4400</v>
      </c>
    </row>
    <row r="721" spans="1:16" x14ac:dyDescent="0.35">
      <c r="A721">
        <v>338</v>
      </c>
      <c r="B721">
        <v>2006</v>
      </c>
      <c r="C721" t="str">
        <f>IF(book_sales[[#This Row],[Publishing Year]]&lt;1900,"Classic (Before 1900)",IF(book_sales[[#This Row],[Publishing Year]]&lt;2000,"20th Century (1900-1999)","21st Century (2000+)"))</f>
        <v>21st Century (2000+)</v>
      </c>
      <c r="D721" t="s">
        <v>640</v>
      </c>
      <c r="E721" t="s">
        <v>641</v>
      </c>
      <c r="F721" t="s">
        <v>23</v>
      </c>
      <c r="G721" t="s">
        <v>24</v>
      </c>
      <c r="H721">
        <v>3.73</v>
      </c>
      <c r="I721">
        <v>101669</v>
      </c>
      <c r="J721" t="s">
        <v>19</v>
      </c>
      <c r="K721">
        <v>1698.57</v>
      </c>
      <c r="L721">
        <v>1019.1420000000001</v>
      </c>
      <c r="M721">
        <v>6.99</v>
      </c>
      <c r="N721">
        <v>363</v>
      </c>
      <c r="O721" t="s">
        <v>31</v>
      </c>
      <c r="P721">
        <v>243</v>
      </c>
    </row>
    <row r="722" spans="1:16" x14ac:dyDescent="0.35">
      <c r="A722">
        <v>700</v>
      </c>
      <c r="B722">
        <v>2007</v>
      </c>
      <c r="C722" t="str">
        <f>IF(book_sales[[#This Row],[Publishing Year]]&lt;1900,"Classic (Before 1900)",IF(book_sales[[#This Row],[Publishing Year]]&lt;2000,"20th Century (1900-1999)","21st Century (2000+)"))</f>
        <v>21st Century (2000+)</v>
      </c>
      <c r="D722" t="s">
        <v>1240</v>
      </c>
      <c r="E722" t="s">
        <v>1241</v>
      </c>
      <c r="F722" t="s">
        <v>17</v>
      </c>
      <c r="G722" t="s">
        <v>24</v>
      </c>
      <c r="H722">
        <v>3.73</v>
      </c>
      <c r="I722">
        <v>72734</v>
      </c>
      <c r="J722" t="s">
        <v>19</v>
      </c>
      <c r="K722">
        <v>824.82</v>
      </c>
      <c r="L722">
        <v>494.892</v>
      </c>
      <c r="M722">
        <v>6.99</v>
      </c>
      <c r="N722">
        <v>804</v>
      </c>
      <c r="O722" t="s">
        <v>31</v>
      </c>
      <c r="P722">
        <v>35640</v>
      </c>
    </row>
    <row r="723" spans="1:16" x14ac:dyDescent="0.35">
      <c r="A723">
        <v>149</v>
      </c>
      <c r="B723">
        <v>1937</v>
      </c>
      <c r="C723" t="str">
        <f>IF(book_sales[[#This Row],[Publishing Year]]&lt;1900,"Classic (Before 1900)",IF(book_sales[[#This Row],[Publishing Year]]&lt;2000,"20th Century (1900-1999)","21st Century (2000+)"))</f>
        <v>20th Century (1900-1999)</v>
      </c>
      <c r="D723" t="s">
        <v>306</v>
      </c>
      <c r="E723" t="s">
        <v>307</v>
      </c>
      <c r="F723" t="s">
        <v>23</v>
      </c>
      <c r="G723" t="s">
        <v>24</v>
      </c>
      <c r="H723">
        <v>4.17</v>
      </c>
      <c r="I723">
        <v>87445</v>
      </c>
      <c r="J723" t="s">
        <v>19</v>
      </c>
      <c r="K723">
        <v>702.9</v>
      </c>
      <c r="L723">
        <v>0</v>
      </c>
      <c r="M723">
        <v>0.99</v>
      </c>
      <c r="N723">
        <v>158</v>
      </c>
      <c r="O723" t="s">
        <v>27</v>
      </c>
      <c r="P723">
        <v>710</v>
      </c>
    </row>
    <row r="724" spans="1:16" x14ac:dyDescent="0.35">
      <c r="A724">
        <v>985</v>
      </c>
      <c r="B724">
        <v>2007</v>
      </c>
      <c r="C724" t="str">
        <f>IF(book_sales[[#This Row],[Publishing Year]]&lt;1900,"Classic (Before 1900)",IF(book_sales[[#This Row],[Publishing Year]]&lt;2000,"20th Century (1900-1999)","21st Century (2000+)"))</f>
        <v>21st Century (2000+)</v>
      </c>
      <c r="D724" t="s">
        <v>1675</v>
      </c>
      <c r="E724" t="s">
        <v>1676</v>
      </c>
      <c r="F724" t="s">
        <v>23</v>
      </c>
      <c r="G724" t="s">
        <v>24</v>
      </c>
      <c r="H724">
        <v>3.88</v>
      </c>
      <c r="I724">
        <v>53586</v>
      </c>
      <c r="J724" t="s">
        <v>19</v>
      </c>
      <c r="K724">
        <v>761.91</v>
      </c>
      <c r="L724">
        <v>0</v>
      </c>
      <c r="M724">
        <v>6.99</v>
      </c>
      <c r="N724">
        <v>1161</v>
      </c>
      <c r="O724" t="s">
        <v>27</v>
      </c>
      <c r="P724">
        <v>109</v>
      </c>
    </row>
    <row r="725" spans="1:16" x14ac:dyDescent="0.35">
      <c r="A725">
        <v>46</v>
      </c>
      <c r="B725">
        <v>1975</v>
      </c>
      <c r="C725" t="str">
        <f>IF(book_sales[[#This Row],[Publishing Year]]&lt;1900,"Classic (Before 1900)",IF(book_sales[[#This Row],[Publishing Year]]&lt;2000,"20th Century (1900-1999)","21st Century (2000+)"))</f>
        <v>20th Century (1900-1999)</v>
      </c>
      <c r="D725" t="s">
        <v>116</v>
      </c>
      <c r="E725" t="s">
        <v>117</v>
      </c>
      <c r="F725" t="s">
        <v>23</v>
      </c>
      <c r="G725" t="s">
        <v>24</v>
      </c>
      <c r="H725">
        <v>3.85</v>
      </c>
      <c r="I725">
        <v>174280</v>
      </c>
      <c r="J725" t="s">
        <v>41</v>
      </c>
      <c r="K725">
        <v>3582</v>
      </c>
      <c r="L725">
        <v>2149.1999999999998</v>
      </c>
      <c r="M725">
        <v>1.99</v>
      </c>
      <c r="N725">
        <v>48</v>
      </c>
      <c r="O725" t="s">
        <v>27</v>
      </c>
      <c r="P725">
        <v>1800</v>
      </c>
    </row>
    <row r="726" spans="1:16" x14ac:dyDescent="0.35">
      <c r="A726">
        <v>983</v>
      </c>
      <c r="B726">
        <v>1999</v>
      </c>
      <c r="C726" t="str">
        <f>IF(book_sales[[#This Row],[Publishing Year]]&lt;1900,"Classic (Before 1900)",IF(book_sales[[#This Row],[Publishing Year]]&lt;2000,"20th Century (1900-1999)","21st Century (2000+)"))</f>
        <v>20th Century (1900-1999)</v>
      </c>
      <c r="D726" t="s">
        <v>1671</v>
      </c>
      <c r="E726" t="s">
        <v>1672</v>
      </c>
      <c r="F726" t="s">
        <v>17</v>
      </c>
      <c r="G726" t="s">
        <v>532</v>
      </c>
      <c r="H726">
        <v>4.16</v>
      </c>
      <c r="I726">
        <v>57259</v>
      </c>
      <c r="J726" t="s">
        <v>19</v>
      </c>
      <c r="K726">
        <v>107.91</v>
      </c>
      <c r="L726">
        <v>0</v>
      </c>
      <c r="M726">
        <v>0.99</v>
      </c>
      <c r="N726">
        <v>1160</v>
      </c>
      <c r="O726" t="s">
        <v>27</v>
      </c>
      <c r="P726">
        <v>109</v>
      </c>
    </row>
    <row r="727" spans="1:16" x14ac:dyDescent="0.35">
      <c r="A727">
        <v>272</v>
      </c>
      <c r="B727">
        <v>1999</v>
      </c>
      <c r="C727" t="str">
        <f>IF(book_sales[[#This Row],[Publishing Year]]&lt;1900,"Classic (Before 1900)",IF(book_sales[[#This Row],[Publishing Year]]&lt;2000,"20th Century (1900-1999)","21st Century (2000+)"))</f>
        <v>20th Century (1900-1999)</v>
      </c>
      <c r="D727" t="s">
        <v>518</v>
      </c>
      <c r="E727" t="s">
        <v>519</v>
      </c>
      <c r="F727" t="s">
        <v>23</v>
      </c>
      <c r="G727" t="s">
        <v>24</v>
      </c>
      <c r="H727">
        <v>4.2300000000000004</v>
      </c>
      <c r="I727">
        <v>118467</v>
      </c>
      <c r="J727" t="s">
        <v>41</v>
      </c>
      <c r="K727">
        <v>1031.55</v>
      </c>
      <c r="L727">
        <v>618.92999999999995</v>
      </c>
      <c r="M727">
        <v>2.99</v>
      </c>
      <c r="N727">
        <v>293</v>
      </c>
      <c r="O727" t="s">
        <v>66</v>
      </c>
      <c r="P727">
        <v>345</v>
      </c>
    </row>
    <row r="728" spans="1:16" x14ac:dyDescent="0.35">
      <c r="A728">
        <v>180</v>
      </c>
      <c r="B728">
        <v>2007</v>
      </c>
      <c r="C728" t="str">
        <f>IF(book_sales[[#This Row],[Publishing Year]]&lt;1900,"Classic (Before 1900)",IF(book_sales[[#This Row],[Publishing Year]]&lt;2000,"20th Century (1900-1999)","21st Century (2000+)"))</f>
        <v>21st Century (2000+)</v>
      </c>
      <c r="D728" t="s">
        <v>358</v>
      </c>
      <c r="E728" t="s">
        <v>359</v>
      </c>
      <c r="F728" t="s">
        <v>23</v>
      </c>
      <c r="G728" t="s">
        <v>24</v>
      </c>
      <c r="H728">
        <v>4.18</v>
      </c>
      <c r="I728">
        <v>143892</v>
      </c>
      <c r="J728" t="s">
        <v>19</v>
      </c>
      <c r="K728">
        <v>524.70000000000005</v>
      </c>
      <c r="L728">
        <v>314.82</v>
      </c>
      <c r="M728">
        <v>0.99</v>
      </c>
      <c r="N728">
        <v>194</v>
      </c>
      <c r="O728" t="s">
        <v>133</v>
      </c>
      <c r="P728">
        <v>530</v>
      </c>
    </row>
    <row r="729" spans="1:16" x14ac:dyDescent="0.35">
      <c r="A729">
        <v>611</v>
      </c>
      <c r="B729">
        <v>1999</v>
      </c>
      <c r="C729" t="str">
        <f>IF(book_sales[[#This Row],[Publishing Year]]&lt;1900,"Classic (Before 1900)",IF(book_sales[[#This Row],[Publishing Year]]&lt;2000,"20th Century (1900-1999)","21st Century (2000+)"))</f>
        <v>20th Century (1900-1999)</v>
      </c>
      <c r="D729" t="s">
        <v>1095</v>
      </c>
      <c r="E729" t="s">
        <v>1096</v>
      </c>
      <c r="F729" t="s">
        <v>23</v>
      </c>
      <c r="G729" t="s">
        <v>532</v>
      </c>
      <c r="H729">
        <v>4.25</v>
      </c>
      <c r="I729">
        <v>72683</v>
      </c>
      <c r="J729" t="s">
        <v>608</v>
      </c>
      <c r="K729">
        <v>327.36</v>
      </c>
      <c r="L729">
        <v>196.416</v>
      </c>
      <c r="M729">
        <v>2.48</v>
      </c>
      <c r="N729">
        <v>694</v>
      </c>
      <c r="O729" t="s">
        <v>46</v>
      </c>
      <c r="P729">
        <v>50112</v>
      </c>
    </row>
    <row r="730" spans="1:16" x14ac:dyDescent="0.35">
      <c r="A730">
        <v>988</v>
      </c>
      <c r="B730">
        <v>1995</v>
      </c>
      <c r="C730" t="str">
        <f>IF(book_sales[[#This Row],[Publishing Year]]&lt;1900,"Classic (Before 1900)",IF(book_sales[[#This Row],[Publishing Year]]&lt;2000,"20th Century (1900-1999)","21st Century (2000+)"))</f>
        <v>20th Century (1900-1999)</v>
      </c>
      <c r="D730" t="s">
        <v>1680</v>
      </c>
      <c r="E730" t="s">
        <v>1096</v>
      </c>
      <c r="F730" t="s">
        <v>23</v>
      </c>
      <c r="G730" t="s">
        <v>532</v>
      </c>
      <c r="H730">
        <v>4.1900000000000004</v>
      </c>
      <c r="I730">
        <v>61836</v>
      </c>
      <c r="J730" t="s">
        <v>19</v>
      </c>
      <c r="K730">
        <v>970.92</v>
      </c>
      <c r="L730">
        <v>582.55200000000002</v>
      </c>
      <c r="M730">
        <v>8.99</v>
      </c>
      <c r="N730">
        <v>1167</v>
      </c>
      <c r="O730" t="s">
        <v>133</v>
      </c>
      <c r="P730">
        <v>108</v>
      </c>
    </row>
    <row r="731" spans="1:16" x14ac:dyDescent="0.35">
      <c r="A731">
        <v>33</v>
      </c>
      <c r="B731">
        <v>2006</v>
      </c>
      <c r="C731" t="str">
        <f>IF(book_sales[[#This Row],[Publishing Year]]&lt;1900,"Classic (Before 1900)",IF(book_sales[[#This Row],[Publishing Year]]&lt;2000,"20th Century (1900-1999)","21st Century (2000+)"))</f>
        <v>21st Century (2000+)</v>
      </c>
      <c r="D731" t="s">
        <v>93</v>
      </c>
      <c r="E731" t="s">
        <v>94</v>
      </c>
      <c r="F731" t="s">
        <v>17</v>
      </c>
      <c r="G731" t="s">
        <v>24</v>
      </c>
      <c r="H731">
        <v>4.1399999999999997</v>
      </c>
      <c r="I731">
        <v>161001</v>
      </c>
      <c r="J731" t="s">
        <v>41</v>
      </c>
      <c r="K731">
        <v>2045.34</v>
      </c>
      <c r="L731">
        <v>1227.204</v>
      </c>
      <c r="M731">
        <v>0.99</v>
      </c>
      <c r="N731">
        <v>34</v>
      </c>
      <c r="O731" t="s">
        <v>20</v>
      </c>
      <c r="P731">
        <v>2066</v>
      </c>
    </row>
    <row r="732" spans="1:16" x14ac:dyDescent="0.35">
      <c r="A732">
        <v>135</v>
      </c>
      <c r="B732">
        <v>2005</v>
      </c>
      <c r="C732" t="str">
        <f>IF(book_sales[[#This Row],[Publishing Year]]&lt;1900,"Classic (Before 1900)",IF(book_sales[[#This Row],[Publishing Year]]&lt;2000,"20th Century (1900-1999)","21st Century (2000+)"))</f>
        <v>21st Century (2000+)</v>
      </c>
      <c r="D732" t="s">
        <v>282</v>
      </c>
      <c r="E732" t="s">
        <v>283</v>
      </c>
      <c r="F732" t="s">
        <v>23</v>
      </c>
      <c r="G732" t="s">
        <v>24</v>
      </c>
      <c r="H732">
        <v>4</v>
      </c>
      <c r="I732">
        <v>137639</v>
      </c>
      <c r="J732" t="s">
        <v>41</v>
      </c>
      <c r="K732">
        <v>1572.1</v>
      </c>
      <c r="L732">
        <v>943.26</v>
      </c>
      <c r="M732">
        <v>1.99</v>
      </c>
      <c r="N732">
        <v>142</v>
      </c>
      <c r="O732" t="s">
        <v>27</v>
      </c>
      <c r="P732">
        <v>790</v>
      </c>
    </row>
    <row r="733" spans="1:16" x14ac:dyDescent="0.35">
      <c r="A733">
        <v>1041</v>
      </c>
      <c r="B733">
        <v>1991</v>
      </c>
      <c r="C733" t="str">
        <f>IF(book_sales[[#This Row],[Publishing Year]]&lt;1900,"Classic (Before 1900)",IF(book_sales[[#This Row],[Publishing Year]]&lt;2000,"20th Century (1900-1999)","21st Century (2000+)"))</f>
        <v>20th Century (1900-1999)</v>
      </c>
      <c r="D733" t="s">
        <v>1760</v>
      </c>
      <c r="E733" t="s">
        <v>1761</v>
      </c>
      <c r="F733" t="s">
        <v>23</v>
      </c>
      <c r="G733" t="s">
        <v>532</v>
      </c>
      <c r="H733">
        <v>4.28</v>
      </c>
      <c r="I733">
        <v>67753</v>
      </c>
      <c r="J733" t="s">
        <v>19</v>
      </c>
      <c r="K733">
        <v>426.93</v>
      </c>
      <c r="L733">
        <v>0</v>
      </c>
      <c r="M733">
        <v>3.99</v>
      </c>
      <c r="N733">
        <v>1230</v>
      </c>
      <c r="O733" t="s">
        <v>27</v>
      </c>
      <c r="P733">
        <v>107</v>
      </c>
    </row>
    <row r="734" spans="1:16" x14ac:dyDescent="0.35">
      <c r="A734">
        <v>235</v>
      </c>
      <c r="B734">
        <v>1989</v>
      </c>
      <c r="C734" t="str">
        <f>IF(book_sales[[#This Row],[Publishing Year]]&lt;1900,"Classic (Before 1900)",IF(book_sales[[#This Row],[Publishing Year]]&lt;2000,"20th Century (1900-1999)","21st Century (2000+)"))</f>
        <v>20th Century (1900-1999)</v>
      </c>
      <c r="D734" t="s">
        <v>453</v>
      </c>
      <c r="E734" t="s">
        <v>454</v>
      </c>
      <c r="F734" t="s">
        <v>23</v>
      </c>
      <c r="G734" t="s">
        <v>24</v>
      </c>
      <c r="H734">
        <v>4.3</v>
      </c>
      <c r="I734">
        <v>122540</v>
      </c>
      <c r="J734" t="s">
        <v>41</v>
      </c>
      <c r="K734">
        <v>2251.8000000000002</v>
      </c>
      <c r="L734">
        <v>1351.08</v>
      </c>
      <c r="M734">
        <v>5.56</v>
      </c>
      <c r="N734">
        <v>257</v>
      </c>
      <c r="O734" t="s">
        <v>27</v>
      </c>
      <c r="P734">
        <v>405</v>
      </c>
    </row>
    <row r="735" spans="1:16" x14ac:dyDescent="0.35">
      <c r="A735">
        <v>1064</v>
      </c>
      <c r="B735">
        <v>1994</v>
      </c>
      <c r="C735" t="str">
        <f>IF(book_sales[[#This Row],[Publishing Year]]&lt;1900,"Classic (Before 1900)",IF(book_sales[[#This Row],[Publishing Year]]&lt;2000,"20th Century (1900-1999)","21st Century (2000+)"))</f>
        <v>20th Century (1900-1999)</v>
      </c>
      <c r="D735" t="s">
        <v>1797</v>
      </c>
      <c r="E735" t="s">
        <v>1798</v>
      </c>
      <c r="F735" t="s">
        <v>23</v>
      </c>
      <c r="G735" t="s">
        <v>532</v>
      </c>
      <c r="H735">
        <v>4.3099999999999996</v>
      </c>
      <c r="I735">
        <v>43927</v>
      </c>
      <c r="J735" t="s">
        <v>19</v>
      </c>
      <c r="K735">
        <v>316.94</v>
      </c>
      <c r="L735">
        <v>0</v>
      </c>
      <c r="M735">
        <v>2.99</v>
      </c>
      <c r="N735">
        <v>1266</v>
      </c>
      <c r="O735" t="s">
        <v>27</v>
      </c>
      <c r="P735">
        <v>106</v>
      </c>
    </row>
    <row r="736" spans="1:16" x14ac:dyDescent="0.35">
      <c r="A736">
        <v>21</v>
      </c>
      <c r="B736">
        <v>2000</v>
      </c>
      <c r="C736" t="str">
        <f>IF(book_sales[[#This Row],[Publishing Year]]&lt;1900,"Classic (Before 1900)",IF(book_sales[[#This Row],[Publishing Year]]&lt;2000,"20th Century (1900-1999)","21st Century (2000+)"))</f>
        <v>21st Century (2000+)</v>
      </c>
      <c r="D736" t="s">
        <v>71</v>
      </c>
      <c r="E736" t="s">
        <v>72</v>
      </c>
      <c r="F736" t="s">
        <v>17</v>
      </c>
      <c r="G736" t="s">
        <v>24</v>
      </c>
      <c r="H736">
        <v>4.0999999999999996</v>
      </c>
      <c r="I736">
        <v>142092</v>
      </c>
      <c r="J736" t="s">
        <v>19</v>
      </c>
      <c r="K736">
        <v>8569.34</v>
      </c>
      <c r="L736">
        <v>0</v>
      </c>
      <c r="M736">
        <v>2.99</v>
      </c>
      <c r="N736">
        <v>22</v>
      </c>
      <c r="O736" t="s">
        <v>27</v>
      </c>
      <c r="P736">
        <v>2866</v>
      </c>
    </row>
    <row r="737" spans="1:16" x14ac:dyDescent="0.35">
      <c r="A737">
        <v>40</v>
      </c>
      <c r="B737">
        <v>2003</v>
      </c>
      <c r="C737" t="str">
        <f>IF(book_sales[[#This Row],[Publishing Year]]&lt;1900,"Classic (Before 1900)",IF(book_sales[[#This Row],[Publishing Year]]&lt;2000,"20th Century (1900-1999)","21st Century (2000+)"))</f>
        <v>21st Century (2000+)</v>
      </c>
      <c r="D737" t="s">
        <v>105</v>
      </c>
      <c r="E737" t="s">
        <v>72</v>
      </c>
      <c r="F737" t="s">
        <v>17</v>
      </c>
      <c r="G737" t="s">
        <v>24</v>
      </c>
      <c r="H737">
        <v>4.1399999999999997</v>
      </c>
      <c r="I737">
        <v>136427</v>
      </c>
      <c r="J737" t="s">
        <v>19</v>
      </c>
      <c r="K737">
        <v>1873.08</v>
      </c>
      <c r="L737">
        <v>0</v>
      </c>
      <c r="M737">
        <v>0.99</v>
      </c>
      <c r="N737">
        <v>42</v>
      </c>
      <c r="O737" t="s">
        <v>27</v>
      </c>
      <c r="P737">
        <v>1892</v>
      </c>
    </row>
    <row r="738" spans="1:16" x14ac:dyDescent="0.35">
      <c r="A738">
        <v>91</v>
      </c>
      <c r="B738">
        <v>2002</v>
      </c>
      <c r="C738" t="str">
        <f>IF(book_sales[[#This Row],[Publishing Year]]&lt;1900,"Classic (Before 1900)",IF(book_sales[[#This Row],[Publishing Year]]&lt;2000,"20th Century (1900-1999)","21st Century (2000+)"))</f>
        <v>21st Century (2000+)</v>
      </c>
      <c r="D738" t="s">
        <v>205</v>
      </c>
      <c r="E738" t="s">
        <v>72</v>
      </c>
      <c r="F738" t="s">
        <v>23</v>
      </c>
      <c r="G738" t="s">
        <v>24</v>
      </c>
      <c r="H738">
        <v>3.82</v>
      </c>
      <c r="I738">
        <v>129807</v>
      </c>
      <c r="J738" t="s">
        <v>19</v>
      </c>
      <c r="K738">
        <v>5603.77</v>
      </c>
      <c r="L738">
        <v>3362.2620000000002</v>
      </c>
      <c r="M738">
        <v>4.99</v>
      </c>
      <c r="N738">
        <v>92</v>
      </c>
      <c r="O738" t="s">
        <v>27</v>
      </c>
      <c r="P738">
        <v>1123</v>
      </c>
    </row>
    <row r="739" spans="1:16" x14ac:dyDescent="0.35">
      <c r="A739">
        <v>152</v>
      </c>
      <c r="B739">
        <v>2001</v>
      </c>
      <c r="C739" t="str">
        <f>IF(book_sales[[#This Row],[Publishing Year]]&lt;1900,"Classic (Before 1900)",IF(book_sales[[#This Row],[Publishing Year]]&lt;2000,"20th Century (1900-1999)","21st Century (2000+)"))</f>
        <v>21st Century (2000+)</v>
      </c>
      <c r="D739" t="s">
        <v>311</v>
      </c>
      <c r="E739" t="s">
        <v>72</v>
      </c>
      <c r="F739" t="s">
        <v>23</v>
      </c>
      <c r="G739" t="s">
        <v>24</v>
      </c>
      <c r="H739">
        <v>4.0199999999999996</v>
      </c>
      <c r="I739">
        <v>116800</v>
      </c>
      <c r="J739" t="s">
        <v>19</v>
      </c>
      <c r="K739">
        <v>1353.2</v>
      </c>
      <c r="L739">
        <v>811.92</v>
      </c>
      <c r="M739">
        <v>1.99</v>
      </c>
      <c r="N739">
        <v>164</v>
      </c>
      <c r="O739" t="s">
        <v>20</v>
      </c>
      <c r="P739">
        <v>680</v>
      </c>
    </row>
    <row r="740" spans="1:16" x14ac:dyDescent="0.35">
      <c r="A740">
        <v>155</v>
      </c>
      <c r="B740">
        <v>2003</v>
      </c>
      <c r="C740" t="str">
        <f>IF(book_sales[[#This Row],[Publishing Year]]&lt;1900,"Classic (Before 1900)",IF(book_sales[[#This Row],[Publishing Year]]&lt;2000,"20th Century (1900-1999)","21st Century (2000+)"))</f>
        <v>21st Century (2000+)</v>
      </c>
      <c r="D740" t="s">
        <v>316</v>
      </c>
      <c r="E740" t="s">
        <v>72</v>
      </c>
      <c r="F740" t="s">
        <v>17</v>
      </c>
      <c r="G740" t="s">
        <v>24</v>
      </c>
      <c r="H740">
        <v>3.98</v>
      </c>
      <c r="I740">
        <v>118045</v>
      </c>
      <c r="J740" t="s">
        <v>19</v>
      </c>
      <c r="K740">
        <v>658.35</v>
      </c>
      <c r="L740">
        <v>395.01</v>
      </c>
      <c r="M740">
        <v>0.99</v>
      </c>
      <c r="N740">
        <v>167</v>
      </c>
      <c r="O740" t="s">
        <v>27</v>
      </c>
      <c r="P740">
        <v>665</v>
      </c>
    </row>
    <row r="741" spans="1:16" x14ac:dyDescent="0.35">
      <c r="A741">
        <v>185</v>
      </c>
      <c r="B741">
        <v>2007</v>
      </c>
      <c r="C741" t="str">
        <f>IF(book_sales[[#This Row],[Publishing Year]]&lt;1900,"Classic (Before 1900)",IF(book_sales[[#This Row],[Publishing Year]]&lt;2000,"20th Century (1900-1999)","21st Century (2000+)"))</f>
        <v>21st Century (2000+)</v>
      </c>
      <c r="D741" t="s">
        <v>367</v>
      </c>
      <c r="E741" t="s">
        <v>72</v>
      </c>
      <c r="F741" t="s">
        <v>17</v>
      </c>
      <c r="G741" t="s">
        <v>24</v>
      </c>
      <c r="H741">
        <v>3.99</v>
      </c>
      <c r="I741">
        <v>93479</v>
      </c>
      <c r="J741" t="s">
        <v>19</v>
      </c>
      <c r="K741">
        <v>1483.04</v>
      </c>
      <c r="L741">
        <v>0</v>
      </c>
      <c r="M741">
        <v>2.99</v>
      </c>
      <c r="N741">
        <v>202</v>
      </c>
      <c r="O741" t="s">
        <v>27</v>
      </c>
      <c r="P741">
        <v>496</v>
      </c>
    </row>
    <row r="742" spans="1:16" x14ac:dyDescent="0.35">
      <c r="A742">
        <v>290</v>
      </c>
      <c r="B742">
        <v>2010</v>
      </c>
      <c r="C742" t="str">
        <f>IF(book_sales[[#This Row],[Publishing Year]]&lt;1900,"Classic (Before 1900)",IF(book_sales[[#This Row],[Publishing Year]]&lt;2000,"20th Century (1900-1999)","21st Century (2000+)"))</f>
        <v>21st Century (2000+)</v>
      </c>
      <c r="D742" t="s">
        <v>552</v>
      </c>
      <c r="E742" t="s">
        <v>72</v>
      </c>
      <c r="F742" t="s">
        <v>17</v>
      </c>
      <c r="G742" t="s">
        <v>24</v>
      </c>
      <c r="H742">
        <v>3.91</v>
      </c>
      <c r="I742">
        <v>103915</v>
      </c>
      <c r="J742" t="s">
        <v>19</v>
      </c>
      <c r="K742">
        <v>307.89</v>
      </c>
      <c r="L742">
        <v>184.73400000000001</v>
      </c>
      <c r="M742">
        <v>0.99</v>
      </c>
      <c r="N742">
        <v>313</v>
      </c>
      <c r="O742" t="s">
        <v>27</v>
      </c>
      <c r="P742">
        <v>311</v>
      </c>
    </row>
    <row r="743" spans="1:16" x14ac:dyDescent="0.35">
      <c r="A743">
        <v>567</v>
      </c>
      <c r="B743">
        <v>2012</v>
      </c>
      <c r="C743" t="str">
        <f>IF(book_sales[[#This Row],[Publishing Year]]&lt;1900,"Classic (Before 1900)",IF(book_sales[[#This Row],[Publishing Year]]&lt;2000,"20th Century (1900-1999)","21st Century (2000+)"))</f>
        <v>21st Century (2000+)</v>
      </c>
      <c r="D743" t="s">
        <v>1028</v>
      </c>
      <c r="E743" t="s">
        <v>72</v>
      </c>
      <c r="F743" t="s">
        <v>23</v>
      </c>
      <c r="G743" t="s">
        <v>532</v>
      </c>
      <c r="H743">
        <v>4.1399999999999997</v>
      </c>
      <c r="I743">
        <v>71276</v>
      </c>
      <c r="J743" t="s">
        <v>19</v>
      </c>
      <c r="K743">
        <v>144.54</v>
      </c>
      <c r="L743">
        <v>0</v>
      </c>
      <c r="M743">
        <v>0.99</v>
      </c>
      <c r="N743">
        <v>631</v>
      </c>
      <c r="O743" t="s">
        <v>27</v>
      </c>
      <c r="P743">
        <v>3942</v>
      </c>
    </row>
    <row r="744" spans="1:16" x14ac:dyDescent="0.35">
      <c r="A744">
        <v>883</v>
      </c>
      <c r="B744">
        <v>2003</v>
      </c>
      <c r="C744" t="str">
        <f>IF(book_sales[[#This Row],[Publishing Year]]&lt;1900,"Classic (Before 1900)",IF(book_sales[[#This Row],[Publishing Year]]&lt;2000,"20th Century (1900-1999)","21st Century (2000+)"))</f>
        <v>21st Century (2000+)</v>
      </c>
      <c r="D744" t="s">
        <v>1518</v>
      </c>
      <c r="E744" t="s">
        <v>72</v>
      </c>
      <c r="F744" t="s">
        <v>17</v>
      </c>
      <c r="G744" t="s">
        <v>24</v>
      </c>
      <c r="H744">
        <v>3.8</v>
      </c>
      <c r="I744">
        <v>62840</v>
      </c>
      <c r="J744" t="s">
        <v>19</v>
      </c>
      <c r="K744">
        <v>558.88</v>
      </c>
      <c r="L744">
        <v>0</v>
      </c>
      <c r="M744">
        <v>4.99</v>
      </c>
      <c r="N744">
        <v>1035</v>
      </c>
      <c r="O744" t="s">
        <v>27</v>
      </c>
      <c r="P744">
        <v>4440</v>
      </c>
    </row>
    <row r="745" spans="1:16" x14ac:dyDescent="0.35">
      <c r="A745">
        <v>928</v>
      </c>
      <c r="B745">
        <v>2004</v>
      </c>
      <c r="C745" t="str">
        <f>IF(book_sales[[#This Row],[Publishing Year]]&lt;1900,"Classic (Before 1900)",IF(book_sales[[#This Row],[Publishing Year]]&lt;2000,"20th Century (1900-1999)","21st Century (2000+)"))</f>
        <v>21st Century (2000+)</v>
      </c>
      <c r="D745" t="s">
        <v>1586</v>
      </c>
      <c r="E745" t="s">
        <v>72</v>
      </c>
      <c r="F745" t="s">
        <v>17</v>
      </c>
      <c r="G745" t="s">
        <v>24</v>
      </c>
      <c r="H745">
        <v>3.81</v>
      </c>
      <c r="I745">
        <v>62219</v>
      </c>
      <c r="J745" t="s">
        <v>19</v>
      </c>
      <c r="K745">
        <v>108.9</v>
      </c>
      <c r="L745">
        <v>65.34</v>
      </c>
      <c r="M745">
        <v>0.99</v>
      </c>
      <c r="N745">
        <v>1091</v>
      </c>
      <c r="O745" t="s">
        <v>27</v>
      </c>
      <c r="P745">
        <v>4320</v>
      </c>
    </row>
    <row r="746" spans="1:16" x14ac:dyDescent="0.35">
      <c r="A746">
        <v>39</v>
      </c>
      <c r="B746">
        <v>1995</v>
      </c>
      <c r="C746" t="str">
        <f>IF(book_sales[[#This Row],[Publishing Year]]&lt;1900,"Classic (Before 1900)",IF(book_sales[[#This Row],[Publishing Year]]&lt;2000,"20th Century (1900-1999)","21st Century (2000+)"))</f>
        <v>20th Century (1900-1999)</v>
      </c>
      <c r="D746" t="s">
        <v>103</v>
      </c>
      <c r="E746" t="s">
        <v>104</v>
      </c>
      <c r="F746" t="s">
        <v>23</v>
      </c>
      <c r="G746" t="s">
        <v>24</v>
      </c>
      <c r="H746">
        <v>3.94</v>
      </c>
      <c r="I746">
        <v>134849</v>
      </c>
      <c r="J746" t="s">
        <v>19</v>
      </c>
      <c r="K746">
        <v>20309.55</v>
      </c>
      <c r="L746">
        <v>12185.73</v>
      </c>
      <c r="M746">
        <v>10.65</v>
      </c>
      <c r="N746">
        <v>41</v>
      </c>
      <c r="O746" t="s">
        <v>46</v>
      </c>
      <c r="P746">
        <v>1907</v>
      </c>
    </row>
    <row r="747" spans="1:16" x14ac:dyDescent="0.35">
      <c r="A747">
        <v>264</v>
      </c>
      <c r="B747">
        <v>1998</v>
      </c>
      <c r="C747" t="str">
        <f>IF(book_sales[[#This Row],[Publishing Year]]&lt;1900,"Classic (Before 1900)",IF(book_sales[[#This Row],[Publishing Year]]&lt;2000,"20th Century (1900-1999)","21st Century (2000+)"))</f>
        <v>20th Century (1900-1999)</v>
      </c>
      <c r="D747" t="s">
        <v>503</v>
      </c>
      <c r="E747" t="s">
        <v>104</v>
      </c>
      <c r="F747" t="s">
        <v>17</v>
      </c>
      <c r="G747" t="s">
        <v>24</v>
      </c>
      <c r="H747">
        <v>3.79</v>
      </c>
      <c r="I747">
        <v>101999</v>
      </c>
      <c r="J747" t="s">
        <v>19</v>
      </c>
      <c r="K747">
        <v>1079.3900000000001</v>
      </c>
      <c r="L747">
        <v>647.63400000000001</v>
      </c>
      <c r="M747">
        <v>2.99</v>
      </c>
      <c r="N747">
        <v>283</v>
      </c>
      <c r="O747" t="s">
        <v>34</v>
      </c>
      <c r="P747">
        <v>361</v>
      </c>
    </row>
    <row r="748" spans="1:16" x14ac:dyDescent="0.35">
      <c r="A748">
        <v>890</v>
      </c>
      <c r="B748">
        <v>2005</v>
      </c>
      <c r="C748" t="str">
        <f>IF(book_sales[[#This Row],[Publishing Year]]&lt;1900,"Classic (Before 1900)",IF(book_sales[[#This Row],[Publishing Year]]&lt;2000,"20th Century (1900-1999)","21st Century (2000+)"))</f>
        <v>21st Century (2000+)</v>
      </c>
      <c r="D748" t="s">
        <v>1528</v>
      </c>
      <c r="E748" t="s">
        <v>104</v>
      </c>
      <c r="F748" t="s">
        <v>23</v>
      </c>
      <c r="G748" t="s">
        <v>18</v>
      </c>
      <c r="H748">
        <v>3.41</v>
      </c>
      <c r="I748">
        <v>59843</v>
      </c>
      <c r="J748" t="s">
        <v>41</v>
      </c>
      <c r="K748">
        <v>446.88</v>
      </c>
      <c r="L748">
        <v>268.12799999999999</v>
      </c>
      <c r="M748">
        <v>3.99</v>
      </c>
      <c r="N748">
        <v>1046</v>
      </c>
      <c r="O748" t="s">
        <v>31</v>
      </c>
      <c r="P748">
        <v>4440</v>
      </c>
    </row>
    <row r="749" spans="1:16" x14ac:dyDescent="0.35">
      <c r="A749">
        <v>922</v>
      </c>
      <c r="B749">
        <v>2015</v>
      </c>
      <c r="C749" t="str">
        <f>IF(book_sales[[#This Row],[Publishing Year]]&lt;1900,"Classic (Before 1900)",IF(book_sales[[#This Row],[Publishing Year]]&lt;2000,"20th Century (1900-1999)","21st Century (2000+)"))</f>
        <v>21st Century (2000+)</v>
      </c>
      <c r="D749" t="s">
        <v>1576</v>
      </c>
      <c r="E749" t="s">
        <v>1577</v>
      </c>
      <c r="F749" t="s">
        <v>23</v>
      </c>
      <c r="G749" t="s">
        <v>532</v>
      </c>
      <c r="H749">
        <v>4.1100000000000003</v>
      </c>
      <c r="I749">
        <v>132552</v>
      </c>
      <c r="J749" t="s">
        <v>19</v>
      </c>
      <c r="K749">
        <v>331.89</v>
      </c>
      <c r="L749">
        <v>0</v>
      </c>
      <c r="M749">
        <v>2.99</v>
      </c>
      <c r="N749">
        <v>1081</v>
      </c>
      <c r="O749" t="s">
        <v>27</v>
      </c>
      <c r="P749">
        <v>4360</v>
      </c>
    </row>
    <row r="750" spans="1:16" x14ac:dyDescent="0.35">
      <c r="A750">
        <v>336</v>
      </c>
      <c r="B750">
        <v>2005</v>
      </c>
      <c r="C750" t="str">
        <f>IF(book_sales[[#This Row],[Publishing Year]]&lt;1900,"Classic (Before 1900)",IF(book_sales[[#This Row],[Publishing Year]]&lt;2000,"20th Century (1900-1999)","21st Century (2000+)"))</f>
        <v>21st Century (2000+)</v>
      </c>
      <c r="D750" t="s">
        <v>636</v>
      </c>
      <c r="E750" t="s">
        <v>637</v>
      </c>
      <c r="F750" t="s">
        <v>23</v>
      </c>
      <c r="G750" t="s">
        <v>24</v>
      </c>
      <c r="H750">
        <v>3.91</v>
      </c>
      <c r="I750">
        <v>98379</v>
      </c>
      <c r="J750" t="s">
        <v>19</v>
      </c>
      <c r="K750">
        <v>977.55</v>
      </c>
      <c r="L750">
        <v>0</v>
      </c>
      <c r="M750">
        <v>3.99</v>
      </c>
      <c r="N750">
        <v>359</v>
      </c>
      <c r="O750" t="s">
        <v>27</v>
      </c>
      <c r="P750">
        <v>245</v>
      </c>
    </row>
    <row r="751" spans="1:16" x14ac:dyDescent="0.35">
      <c r="A751">
        <v>376</v>
      </c>
      <c r="B751">
        <v>2009</v>
      </c>
      <c r="C751" t="str">
        <f>IF(book_sales[[#This Row],[Publishing Year]]&lt;1900,"Classic (Before 1900)",IF(book_sales[[#This Row],[Publishing Year]]&lt;2000,"20th Century (1900-1999)","21st Century (2000+)"))</f>
        <v>21st Century (2000+)</v>
      </c>
      <c r="D751" t="s">
        <v>707</v>
      </c>
      <c r="E751" t="s">
        <v>708</v>
      </c>
      <c r="F751" t="s">
        <v>23</v>
      </c>
      <c r="G751" t="s">
        <v>532</v>
      </c>
      <c r="H751">
        <v>4.0999999999999996</v>
      </c>
      <c r="I751">
        <v>103933</v>
      </c>
      <c r="J751" t="s">
        <v>19</v>
      </c>
      <c r="K751">
        <v>437.8</v>
      </c>
      <c r="L751">
        <v>262.68</v>
      </c>
      <c r="M751">
        <v>1.99</v>
      </c>
      <c r="N751">
        <v>409</v>
      </c>
      <c r="O751" t="s">
        <v>46</v>
      </c>
      <c r="P751">
        <v>5940</v>
      </c>
    </row>
    <row r="752" spans="1:16" x14ac:dyDescent="0.35">
      <c r="A752">
        <v>976</v>
      </c>
      <c r="B752">
        <v>1952</v>
      </c>
      <c r="C752" t="str">
        <f>IF(book_sales[[#This Row],[Publishing Year]]&lt;1900,"Classic (Before 1900)",IF(book_sales[[#This Row],[Publishing Year]]&lt;2000,"20th Century (1900-1999)","21st Century (2000+)"))</f>
        <v>20th Century (1900-1999)</v>
      </c>
      <c r="D752" t="s">
        <v>1659</v>
      </c>
      <c r="E752" t="s">
        <v>1660</v>
      </c>
      <c r="F752" t="s">
        <v>23</v>
      </c>
      <c r="G752" t="s">
        <v>532</v>
      </c>
      <c r="H752">
        <v>4.08</v>
      </c>
      <c r="I752">
        <v>52704</v>
      </c>
      <c r="J752" t="s">
        <v>19</v>
      </c>
      <c r="K752">
        <v>325.91000000000003</v>
      </c>
      <c r="L752">
        <v>0</v>
      </c>
      <c r="M752">
        <v>2.99</v>
      </c>
      <c r="N752">
        <v>1152</v>
      </c>
      <c r="O752" t="s">
        <v>27</v>
      </c>
      <c r="P752">
        <v>4240</v>
      </c>
    </row>
    <row r="753" spans="1:16" x14ac:dyDescent="0.35">
      <c r="A753">
        <v>30</v>
      </c>
      <c r="B753">
        <v>1961</v>
      </c>
      <c r="C753" t="str">
        <f>IF(book_sales[[#This Row],[Publishing Year]]&lt;1900,"Classic (Before 1900)",IF(book_sales[[#This Row],[Publishing Year]]&lt;2000,"20th Century (1900-1999)","21st Century (2000+)"))</f>
        <v>20th Century (1900-1999)</v>
      </c>
      <c r="D753" t="s">
        <v>87</v>
      </c>
      <c r="E753" t="s">
        <v>88</v>
      </c>
      <c r="F753" t="s">
        <v>17</v>
      </c>
      <c r="G753" t="s">
        <v>24</v>
      </c>
      <c r="H753">
        <v>4.22</v>
      </c>
      <c r="I753">
        <v>178432</v>
      </c>
      <c r="J753" t="s">
        <v>19</v>
      </c>
      <c r="K753">
        <v>4509.34</v>
      </c>
      <c r="L753">
        <v>0</v>
      </c>
      <c r="M753">
        <v>1.99</v>
      </c>
      <c r="N753">
        <v>31</v>
      </c>
      <c r="O753" t="s">
        <v>27</v>
      </c>
      <c r="P753">
        <v>2266</v>
      </c>
    </row>
    <row r="754" spans="1:16" x14ac:dyDescent="0.35">
      <c r="A754">
        <v>1038</v>
      </c>
      <c r="B754">
        <v>1905</v>
      </c>
      <c r="C754" t="str">
        <f>IF(book_sales[[#This Row],[Publishing Year]]&lt;1900,"Classic (Before 1900)",IF(book_sales[[#This Row],[Publishing Year]]&lt;2000,"20th Century (1900-1999)","21st Century (2000+)"))</f>
        <v>20th Century (1900-1999)</v>
      </c>
      <c r="D754" t="s">
        <v>1754</v>
      </c>
      <c r="E754" t="s">
        <v>1755</v>
      </c>
      <c r="F754" t="s">
        <v>23</v>
      </c>
      <c r="G754" t="s">
        <v>532</v>
      </c>
      <c r="H754">
        <v>4.07</v>
      </c>
      <c r="I754">
        <v>66537</v>
      </c>
      <c r="J754" t="s">
        <v>41</v>
      </c>
      <c r="K754">
        <v>951.23</v>
      </c>
      <c r="L754">
        <v>570.73800000000006</v>
      </c>
      <c r="M754">
        <v>8.89</v>
      </c>
      <c r="N754">
        <v>1224</v>
      </c>
      <c r="O754" t="s">
        <v>66</v>
      </c>
      <c r="P754">
        <v>107</v>
      </c>
    </row>
    <row r="755" spans="1:16" x14ac:dyDescent="0.35">
      <c r="A755">
        <v>654</v>
      </c>
      <c r="B755">
        <v>1984</v>
      </c>
      <c r="C755" t="str">
        <f>IF(book_sales[[#This Row],[Publishing Year]]&lt;1900,"Classic (Before 1900)",IF(book_sales[[#This Row],[Publishing Year]]&lt;2000,"20th Century (1900-1999)","21st Century (2000+)"))</f>
        <v>20th Century (1900-1999)</v>
      </c>
      <c r="D755" t="s">
        <v>1165</v>
      </c>
      <c r="E755" t="s">
        <v>1166</v>
      </c>
      <c r="G755" t="s">
        <v>24</v>
      </c>
      <c r="H755">
        <v>3.99</v>
      </c>
      <c r="I755">
        <v>82281</v>
      </c>
      <c r="J755" t="s">
        <v>19</v>
      </c>
      <c r="K755">
        <v>950.81</v>
      </c>
      <c r="L755">
        <v>570.48599999999999</v>
      </c>
      <c r="M755">
        <v>7.99</v>
      </c>
      <c r="N755">
        <v>751</v>
      </c>
      <c r="O755" t="s">
        <v>46</v>
      </c>
      <c r="P755">
        <v>42120</v>
      </c>
    </row>
    <row r="756" spans="1:16" x14ac:dyDescent="0.35">
      <c r="A756">
        <v>350</v>
      </c>
      <c r="B756">
        <v>1985</v>
      </c>
      <c r="C756" t="str">
        <f>IF(book_sales[[#This Row],[Publishing Year]]&lt;1900,"Classic (Before 1900)",IF(book_sales[[#This Row],[Publishing Year]]&lt;2000,"20th Century (1900-1999)","21st Century (2000+)"))</f>
        <v>20th Century (1900-1999)</v>
      </c>
      <c r="D756" t="s">
        <v>663</v>
      </c>
      <c r="E756" t="s">
        <v>664</v>
      </c>
      <c r="F756" t="s">
        <v>17</v>
      </c>
      <c r="G756" t="s">
        <v>532</v>
      </c>
      <c r="H756">
        <v>4.04</v>
      </c>
      <c r="I756">
        <v>102419</v>
      </c>
      <c r="J756" t="s">
        <v>41</v>
      </c>
      <c r="K756">
        <v>1182.6300000000001</v>
      </c>
      <c r="L756">
        <v>709.57799999999997</v>
      </c>
      <c r="M756">
        <v>4.99</v>
      </c>
      <c r="N756">
        <v>376</v>
      </c>
      <c r="O756" t="s">
        <v>46</v>
      </c>
      <c r="P756">
        <v>237</v>
      </c>
    </row>
    <row r="757" spans="1:16" x14ac:dyDescent="0.35">
      <c r="A757">
        <v>229</v>
      </c>
      <c r="B757">
        <v>1998</v>
      </c>
      <c r="C757" t="str">
        <f>IF(book_sales[[#This Row],[Publishing Year]]&lt;1900,"Classic (Before 1900)",IF(book_sales[[#This Row],[Publishing Year]]&lt;2000,"20th Century (1900-1999)","21st Century (2000+)"))</f>
        <v>20th Century (1900-1999)</v>
      </c>
      <c r="D757" t="s">
        <v>443</v>
      </c>
      <c r="E757" t="s">
        <v>444</v>
      </c>
      <c r="F757" t="s">
        <v>23</v>
      </c>
      <c r="G757" t="s">
        <v>24</v>
      </c>
      <c r="H757">
        <v>4.3</v>
      </c>
      <c r="I757">
        <v>115521</v>
      </c>
      <c r="J757" t="s">
        <v>41</v>
      </c>
      <c r="K757">
        <v>411.84</v>
      </c>
      <c r="L757">
        <v>0</v>
      </c>
      <c r="M757">
        <v>0.99</v>
      </c>
      <c r="N757">
        <v>250</v>
      </c>
      <c r="O757" t="s">
        <v>27</v>
      </c>
      <c r="P757">
        <v>416</v>
      </c>
    </row>
    <row r="758" spans="1:16" x14ac:dyDescent="0.35">
      <c r="A758">
        <v>307</v>
      </c>
      <c r="B758">
        <v>1991</v>
      </c>
      <c r="C758" t="str">
        <f>IF(book_sales[[#This Row],[Publishing Year]]&lt;1900,"Classic (Before 1900)",IF(book_sales[[#This Row],[Publishing Year]]&lt;2000,"20th Century (1900-1999)","21st Century (2000+)"))</f>
        <v>20th Century (1900-1999)</v>
      </c>
      <c r="D758" t="s">
        <v>583</v>
      </c>
      <c r="E758" t="s">
        <v>444</v>
      </c>
      <c r="F758" t="s">
        <v>23</v>
      </c>
      <c r="G758" t="s">
        <v>24</v>
      </c>
      <c r="H758">
        <v>3.77</v>
      </c>
      <c r="I758">
        <v>104467</v>
      </c>
      <c r="J758" t="s">
        <v>19</v>
      </c>
      <c r="K758">
        <v>1707.15</v>
      </c>
      <c r="L758">
        <v>1024.29</v>
      </c>
      <c r="M758">
        <v>5.99</v>
      </c>
      <c r="N758">
        <v>329</v>
      </c>
      <c r="O758" t="s">
        <v>66</v>
      </c>
      <c r="P758">
        <v>285</v>
      </c>
    </row>
    <row r="759" spans="1:16" x14ac:dyDescent="0.35">
      <c r="A759">
        <v>682</v>
      </c>
      <c r="B759">
        <v>1996</v>
      </c>
      <c r="C759" t="str">
        <f>IF(book_sales[[#This Row],[Publishing Year]]&lt;1900,"Classic (Before 1900)",IF(book_sales[[#This Row],[Publishing Year]]&lt;2000,"20th Century (1900-1999)","21st Century (2000+)"))</f>
        <v>20th Century (1900-1999)</v>
      </c>
      <c r="D759" t="s">
        <v>1215</v>
      </c>
      <c r="E759" t="s">
        <v>444</v>
      </c>
      <c r="F759" t="s">
        <v>23</v>
      </c>
      <c r="G759" t="s">
        <v>24</v>
      </c>
      <c r="H759">
        <v>3.74</v>
      </c>
      <c r="I759">
        <v>74517</v>
      </c>
      <c r="J759" t="s">
        <v>19</v>
      </c>
      <c r="K759">
        <v>1022.21</v>
      </c>
      <c r="L759">
        <v>613.32600000000002</v>
      </c>
      <c r="M759">
        <v>8.59</v>
      </c>
      <c r="N759">
        <v>784</v>
      </c>
      <c r="O759" t="s">
        <v>27</v>
      </c>
      <c r="P759">
        <v>36936</v>
      </c>
    </row>
    <row r="760" spans="1:16" x14ac:dyDescent="0.35">
      <c r="A760">
        <v>112</v>
      </c>
      <c r="B760">
        <v>2008</v>
      </c>
      <c r="C760" t="str">
        <f>IF(book_sales[[#This Row],[Publishing Year]]&lt;1900,"Classic (Before 1900)",IF(book_sales[[#This Row],[Publishing Year]]&lt;2000,"20th Century (1900-1999)","21st Century (2000+)"))</f>
        <v>21st Century (2000+)</v>
      </c>
      <c r="D760" t="s">
        <v>240</v>
      </c>
      <c r="E760" t="s">
        <v>241</v>
      </c>
      <c r="F760" t="s">
        <v>17</v>
      </c>
      <c r="G760" t="s">
        <v>24</v>
      </c>
      <c r="H760">
        <v>3.9</v>
      </c>
      <c r="I760">
        <v>180961</v>
      </c>
      <c r="J760" t="s">
        <v>30</v>
      </c>
      <c r="K760">
        <v>7759.2</v>
      </c>
      <c r="L760">
        <v>4655.5200000000004</v>
      </c>
      <c r="M760">
        <v>8.48</v>
      </c>
      <c r="N760">
        <v>117</v>
      </c>
      <c r="O760" t="s">
        <v>27</v>
      </c>
      <c r="P760">
        <v>915</v>
      </c>
    </row>
    <row r="761" spans="1:16" x14ac:dyDescent="0.35">
      <c r="A761">
        <v>252</v>
      </c>
      <c r="B761">
        <v>2009</v>
      </c>
      <c r="C761" t="str">
        <f>IF(book_sales[[#This Row],[Publishing Year]]&lt;1900,"Classic (Before 1900)",IF(book_sales[[#This Row],[Publishing Year]]&lt;2000,"20th Century (1900-1999)","21st Century (2000+)"))</f>
        <v>21st Century (2000+)</v>
      </c>
      <c r="D761" t="s">
        <v>483</v>
      </c>
      <c r="E761" t="s">
        <v>241</v>
      </c>
      <c r="F761" t="s">
        <v>23</v>
      </c>
      <c r="G761" t="s">
        <v>24</v>
      </c>
      <c r="H761">
        <v>3.93</v>
      </c>
      <c r="I761">
        <v>138103</v>
      </c>
      <c r="J761" t="s">
        <v>19</v>
      </c>
      <c r="K761">
        <v>1871.25</v>
      </c>
      <c r="L761">
        <v>1122.75</v>
      </c>
      <c r="M761">
        <v>4.99</v>
      </c>
      <c r="N761">
        <v>275</v>
      </c>
      <c r="O761" t="s">
        <v>46</v>
      </c>
      <c r="P761">
        <v>375</v>
      </c>
    </row>
    <row r="762" spans="1:16" x14ac:dyDescent="0.35">
      <c r="A762">
        <v>274</v>
      </c>
      <c r="B762">
        <v>2010</v>
      </c>
      <c r="C762" t="str">
        <f>IF(book_sales[[#This Row],[Publishing Year]]&lt;1900,"Classic (Before 1900)",IF(book_sales[[#This Row],[Publishing Year]]&lt;2000,"20th Century (1900-1999)","21st Century (2000+)"))</f>
        <v>21st Century (2000+)</v>
      </c>
      <c r="D762" t="s">
        <v>521</v>
      </c>
      <c r="E762" t="s">
        <v>241</v>
      </c>
      <c r="F762" t="s">
        <v>23</v>
      </c>
      <c r="G762" t="s">
        <v>24</v>
      </c>
      <c r="H762">
        <v>3.98</v>
      </c>
      <c r="I762">
        <v>120763</v>
      </c>
      <c r="J762" t="s">
        <v>19</v>
      </c>
      <c r="K762">
        <v>1019.59</v>
      </c>
      <c r="L762">
        <v>0</v>
      </c>
      <c r="M762">
        <v>2.99</v>
      </c>
      <c r="N762">
        <v>295</v>
      </c>
      <c r="O762" t="s">
        <v>27</v>
      </c>
      <c r="P762">
        <v>341</v>
      </c>
    </row>
    <row r="763" spans="1:16" x14ac:dyDescent="0.35">
      <c r="A763">
        <v>283</v>
      </c>
      <c r="B763">
        <v>2008</v>
      </c>
      <c r="C763" t="str">
        <f>IF(book_sales[[#This Row],[Publishing Year]]&lt;1900,"Classic (Before 1900)",IF(book_sales[[#This Row],[Publishing Year]]&lt;2000,"20th Century (1900-1999)","21st Century (2000+)"))</f>
        <v>21st Century (2000+)</v>
      </c>
      <c r="D763" t="s">
        <v>539</v>
      </c>
      <c r="E763" t="s">
        <v>241</v>
      </c>
      <c r="F763" t="s">
        <v>23</v>
      </c>
      <c r="G763" t="s">
        <v>24</v>
      </c>
      <c r="H763">
        <v>3.96</v>
      </c>
      <c r="I763">
        <v>127387</v>
      </c>
      <c r="J763" t="s">
        <v>30</v>
      </c>
      <c r="K763">
        <v>2759.25</v>
      </c>
      <c r="L763">
        <v>1655.55</v>
      </c>
      <c r="M763">
        <v>8.49</v>
      </c>
      <c r="N763">
        <v>305</v>
      </c>
      <c r="O763" t="s">
        <v>20</v>
      </c>
      <c r="P763">
        <v>325</v>
      </c>
    </row>
    <row r="764" spans="1:16" x14ac:dyDescent="0.35">
      <c r="A764">
        <v>562</v>
      </c>
      <c r="B764">
        <v>2011</v>
      </c>
      <c r="C764" t="str">
        <f>IF(book_sales[[#This Row],[Publishing Year]]&lt;1900,"Classic (Before 1900)",IF(book_sales[[#This Row],[Publishing Year]]&lt;2000,"20th Century (1900-1999)","21st Century (2000+)"))</f>
        <v>21st Century (2000+)</v>
      </c>
      <c r="D764" t="s">
        <v>1019</v>
      </c>
      <c r="E764" t="s">
        <v>241</v>
      </c>
      <c r="F764" t="s">
        <v>17</v>
      </c>
      <c r="G764" t="s">
        <v>532</v>
      </c>
      <c r="H764">
        <v>4.0199999999999996</v>
      </c>
      <c r="I764">
        <v>101234</v>
      </c>
      <c r="J764" t="s">
        <v>19</v>
      </c>
      <c r="K764">
        <v>675.98</v>
      </c>
      <c r="L764">
        <v>405.58800000000002</v>
      </c>
      <c r="M764">
        <v>4.63</v>
      </c>
      <c r="N764">
        <v>628</v>
      </c>
      <c r="O764" t="s">
        <v>31</v>
      </c>
      <c r="P764">
        <v>3942</v>
      </c>
    </row>
    <row r="765" spans="1:16" x14ac:dyDescent="0.35">
      <c r="A765">
        <v>48</v>
      </c>
      <c r="B765">
        <v>1960</v>
      </c>
      <c r="C765" t="str">
        <f>IF(book_sales[[#This Row],[Publishing Year]]&lt;1900,"Classic (Before 1900)",IF(book_sales[[#This Row],[Publishing Year]]&lt;2000,"20th Century (1900-1999)","21st Century (2000+)"))</f>
        <v>20th Century (1900-1999)</v>
      </c>
      <c r="D765" t="s">
        <v>121</v>
      </c>
      <c r="E765" t="s">
        <v>122</v>
      </c>
      <c r="F765" t="s">
        <v>23</v>
      </c>
      <c r="G765" t="s">
        <v>24</v>
      </c>
      <c r="H765">
        <v>4.16</v>
      </c>
      <c r="I765">
        <v>174204</v>
      </c>
      <c r="J765" t="s">
        <v>19</v>
      </c>
      <c r="K765">
        <v>10596.31</v>
      </c>
      <c r="L765">
        <v>6357.7860000000001</v>
      </c>
      <c r="M765">
        <v>5.99</v>
      </c>
      <c r="N765">
        <v>50</v>
      </c>
      <c r="O765" t="s">
        <v>34</v>
      </c>
      <c r="P765">
        <v>1769</v>
      </c>
    </row>
    <row r="766" spans="1:16" x14ac:dyDescent="0.35">
      <c r="A766">
        <v>957</v>
      </c>
      <c r="B766">
        <v>1961</v>
      </c>
      <c r="C766" t="str">
        <f>IF(book_sales[[#This Row],[Publishing Year]]&lt;1900,"Classic (Before 1900)",IF(book_sales[[#This Row],[Publishing Year]]&lt;2000,"20th Century (1900-1999)","21st Century (2000+)"))</f>
        <v>20th Century (1900-1999)</v>
      </c>
      <c r="D766" t="s">
        <v>1634</v>
      </c>
      <c r="E766" t="s">
        <v>122</v>
      </c>
      <c r="F766" t="s">
        <v>23</v>
      </c>
      <c r="G766" t="s">
        <v>532</v>
      </c>
      <c r="H766">
        <v>4.08</v>
      </c>
      <c r="I766">
        <v>66360</v>
      </c>
      <c r="J766" t="s">
        <v>30</v>
      </c>
      <c r="K766">
        <v>1160.8499999999999</v>
      </c>
      <c r="L766">
        <v>696.51</v>
      </c>
      <c r="M766">
        <v>10.65</v>
      </c>
      <c r="N766">
        <v>1130</v>
      </c>
      <c r="O766" t="s">
        <v>34</v>
      </c>
      <c r="P766">
        <v>4280</v>
      </c>
    </row>
    <row r="767" spans="1:16" x14ac:dyDescent="0.35">
      <c r="A767">
        <v>1034</v>
      </c>
      <c r="B767">
        <v>2012</v>
      </c>
      <c r="C767" t="str">
        <f>IF(book_sales[[#This Row],[Publishing Year]]&lt;1900,"Classic (Before 1900)",IF(book_sales[[#This Row],[Publishing Year]]&lt;2000,"20th Century (1900-1999)","21st Century (2000+)"))</f>
        <v>21st Century (2000+)</v>
      </c>
      <c r="D767" t="s">
        <v>1747</v>
      </c>
      <c r="E767" t="s">
        <v>1748</v>
      </c>
      <c r="F767" t="s">
        <v>23</v>
      </c>
      <c r="G767" t="s">
        <v>18</v>
      </c>
      <c r="H767">
        <v>3.21</v>
      </c>
      <c r="I767">
        <v>65906</v>
      </c>
      <c r="J767" t="s">
        <v>19</v>
      </c>
      <c r="K767">
        <v>426.93</v>
      </c>
      <c r="L767">
        <v>256.15800000000002</v>
      </c>
      <c r="M767">
        <v>3.99</v>
      </c>
      <c r="N767">
        <v>1220</v>
      </c>
      <c r="O767" t="s">
        <v>27</v>
      </c>
      <c r="P767">
        <v>107</v>
      </c>
    </row>
    <row r="768" spans="1:16" x14ac:dyDescent="0.35">
      <c r="A768">
        <v>722</v>
      </c>
      <c r="B768">
        <v>1934</v>
      </c>
      <c r="C768" t="str">
        <f>IF(book_sales[[#This Row],[Publishing Year]]&lt;1900,"Classic (Before 1900)",IF(book_sales[[#This Row],[Publishing Year]]&lt;2000,"20th Century (1900-1999)","21st Century (2000+)"))</f>
        <v>20th Century (1900-1999)</v>
      </c>
      <c r="D768" t="s">
        <v>1275</v>
      </c>
      <c r="E768" t="s">
        <v>1276</v>
      </c>
      <c r="F768" t="s">
        <v>17</v>
      </c>
      <c r="G768" t="s">
        <v>532</v>
      </c>
      <c r="H768">
        <v>4.05</v>
      </c>
      <c r="I768">
        <v>82706</v>
      </c>
      <c r="J768" t="s">
        <v>19</v>
      </c>
      <c r="K768">
        <v>349.83</v>
      </c>
      <c r="L768">
        <v>209.898</v>
      </c>
      <c r="M768">
        <v>2.99</v>
      </c>
      <c r="N768">
        <v>830</v>
      </c>
      <c r="O768" t="s">
        <v>27</v>
      </c>
      <c r="P768">
        <v>34128</v>
      </c>
    </row>
    <row r="769" spans="1:16" x14ac:dyDescent="0.35">
      <c r="A769">
        <v>449</v>
      </c>
      <c r="B769">
        <v>2006</v>
      </c>
      <c r="C769" t="str">
        <f>IF(book_sales[[#This Row],[Publishing Year]]&lt;1900,"Classic (Before 1900)",IF(book_sales[[#This Row],[Publishing Year]]&lt;2000,"20th Century (1900-1999)","21st Century (2000+)"))</f>
        <v>21st Century (2000+)</v>
      </c>
      <c r="D769" t="s">
        <v>830</v>
      </c>
      <c r="E769" t="s">
        <v>831</v>
      </c>
      <c r="F769" t="s">
        <v>23</v>
      </c>
      <c r="G769" t="s">
        <v>532</v>
      </c>
      <c r="H769">
        <v>4.18</v>
      </c>
      <c r="I769">
        <v>129150</v>
      </c>
      <c r="J769" t="s">
        <v>19</v>
      </c>
      <c r="K769">
        <v>350.24</v>
      </c>
      <c r="L769">
        <v>0</v>
      </c>
      <c r="M769">
        <v>1.99</v>
      </c>
      <c r="N769">
        <v>497</v>
      </c>
      <c r="O769" t="s">
        <v>27</v>
      </c>
      <c r="P769">
        <v>4752</v>
      </c>
    </row>
    <row r="770" spans="1:16" x14ac:dyDescent="0.35">
      <c r="A770">
        <v>560</v>
      </c>
      <c r="B770">
        <v>1993</v>
      </c>
      <c r="C770" t="str">
        <f>IF(book_sales[[#This Row],[Publishing Year]]&lt;1900,"Classic (Before 1900)",IF(book_sales[[#This Row],[Publishing Year]]&lt;2000,"20th Century (1900-1999)","21st Century (2000+)"))</f>
        <v>20th Century (1900-1999)</v>
      </c>
      <c r="D770" t="s">
        <v>1015</v>
      </c>
      <c r="E770" t="s">
        <v>1016</v>
      </c>
      <c r="F770" t="s">
        <v>1017</v>
      </c>
      <c r="G770" t="s">
        <v>532</v>
      </c>
      <c r="H770">
        <v>4.1100000000000003</v>
      </c>
      <c r="I770">
        <v>83695</v>
      </c>
      <c r="J770" t="s">
        <v>19</v>
      </c>
      <c r="K770">
        <v>439.53</v>
      </c>
      <c r="L770">
        <v>263.71800000000002</v>
      </c>
      <c r="M770">
        <v>2.99</v>
      </c>
      <c r="N770">
        <v>626</v>
      </c>
      <c r="O770" t="s">
        <v>27</v>
      </c>
      <c r="P770">
        <v>3969</v>
      </c>
    </row>
    <row r="771" spans="1:16" x14ac:dyDescent="0.35">
      <c r="A771">
        <v>519</v>
      </c>
      <c r="B771">
        <v>2008</v>
      </c>
      <c r="C771" t="str">
        <f>IF(book_sales[[#This Row],[Publishing Year]]&lt;1900,"Classic (Before 1900)",IF(book_sales[[#This Row],[Publishing Year]]&lt;2000,"20th Century (1900-1999)","21st Century (2000+)"))</f>
        <v>21st Century (2000+)</v>
      </c>
      <c r="D771" t="s">
        <v>945</v>
      </c>
      <c r="E771" t="s">
        <v>946</v>
      </c>
      <c r="F771" t="s">
        <v>23</v>
      </c>
      <c r="G771" t="s">
        <v>24</v>
      </c>
      <c r="H771">
        <v>3.96</v>
      </c>
      <c r="I771">
        <v>99638</v>
      </c>
      <c r="J771" t="s">
        <v>19</v>
      </c>
      <c r="K771">
        <v>1136.02</v>
      </c>
      <c r="L771">
        <v>681.61199999999997</v>
      </c>
      <c r="M771">
        <v>7.19</v>
      </c>
      <c r="N771">
        <v>575</v>
      </c>
      <c r="O771" t="s">
        <v>27</v>
      </c>
      <c r="P771">
        <v>4266</v>
      </c>
    </row>
    <row r="772" spans="1:16" x14ac:dyDescent="0.35">
      <c r="A772">
        <v>456</v>
      </c>
      <c r="B772">
        <v>2011</v>
      </c>
      <c r="C772" t="str">
        <f>IF(book_sales[[#This Row],[Publishing Year]]&lt;1900,"Classic (Before 1900)",IF(book_sales[[#This Row],[Publishing Year]]&lt;2000,"20th Century (1900-1999)","21st Century (2000+)"))</f>
        <v>21st Century (2000+)</v>
      </c>
      <c r="D772" t="s">
        <v>843</v>
      </c>
      <c r="E772" t="s">
        <v>844</v>
      </c>
      <c r="F772" t="s">
        <v>23</v>
      </c>
      <c r="G772" t="s">
        <v>532</v>
      </c>
      <c r="H772">
        <v>4.3600000000000003</v>
      </c>
      <c r="I772">
        <v>104579</v>
      </c>
      <c r="J772" t="s">
        <v>19</v>
      </c>
      <c r="K772">
        <v>1842.45</v>
      </c>
      <c r="L772">
        <v>1105.47</v>
      </c>
      <c r="M772">
        <v>10.65</v>
      </c>
      <c r="N772">
        <v>505</v>
      </c>
      <c r="O772" t="s">
        <v>46</v>
      </c>
      <c r="P772">
        <v>4671</v>
      </c>
    </row>
    <row r="773" spans="1:16" x14ac:dyDescent="0.35">
      <c r="A773">
        <v>980</v>
      </c>
      <c r="B773">
        <v>2014</v>
      </c>
      <c r="C773" t="str">
        <f>IF(book_sales[[#This Row],[Publishing Year]]&lt;1900,"Classic (Before 1900)",IF(book_sales[[#This Row],[Publishing Year]]&lt;2000,"20th Century (1900-1999)","21st Century (2000+)"))</f>
        <v>21st Century (2000+)</v>
      </c>
      <c r="D773" t="s">
        <v>1666</v>
      </c>
      <c r="E773" t="s">
        <v>1667</v>
      </c>
      <c r="F773" t="s">
        <v>23</v>
      </c>
      <c r="G773" t="s">
        <v>24</v>
      </c>
      <c r="H773">
        <v>3.92</v>
      </c>
      <c r="I773">
        <v>57716</v>
      </c>
      <c r="J773" t="s">
        <v>19</v>
      </c>
      <c r="K773">
        <v>434.91</v>
      </c>
      <c r="L773">
        <v>0</v>
      </c>
      <c r="M773">
        <v>3.99</v>
      </c>
      <c r="N773">
        <v>1156</v>
      </c>
      <c r="O773" t="s">
        <v>27</v>
      </c>
      <c r="P773">
        <v>4240</v>
      </c>
    </row>
    <row r="774" spans="1:16" x14ac:dyDescent="0.35">
      <c r="A774">
        <v>244</v>
      </c>
      <c r="B774">
        <v>2010</v>
      </c>
      <c r="C774" t="str">
        <f>IF(book_sales[[#This Row],[Publishing Year]]&lt;1900,"Classic (Before 1900)",IF(book_sales[[#This Row],[Publishing Year]]&lt;2000,"20th Century (1900-1999)","21st Century (2000+)"))</f>
        <v>21st Century (2000+)</v>
      </c>
      <c r="D774" t="s">
        <v>469</v>
      </c>
      <c r="E774" t="s">
        <v>470</v>
      </c>
      <c r="F774" t="s">
        <v>17</v>
      </c>
      <c r="G774" t="s">
        <v>24</v>
      </c>
      <c r="H774">
        <v>4.1399999999999997</v>
      </c>
      <c r="I774">
        <v>106542</v>
      </c>
      <c r="J774" t="s">
        <v>19</v>
      </c>
      <c r="K774">
        <v>766.15</v>
      </c>
      <c r="L774">
        <v>459.69</v>
      </c>
      <c r="M774">
        <v>1.99</v>
      </c>
      <c r="N774">
        <v>269</v>
      </c>
      <c r="O774" t="s">
        <v>46</v>
      </c>
      <c r="P774">
        <v>385</v>
      </c>
    </row>
    <row r="775" spans="1:16" x14ac:dyDescent="0.35">
      <c r="A775">
        <v>321</v>
      </c>
      <c r="B775">
        <v>2016</v>
      </c>
      <c r="C775" t="str">
        <f>IF(book_sales[[#This Row],[Publishing Year]]&lt;1900,"Classic (Before 1900)",IF(book_sales[[#This Row],[Publishing Year]]&lt;2000,"20th Century (1900-1999)","21st Century (2000+)"))</f>
        <v>21st Century (2000+)</v>
      </c>
      <c r="D775" t="s">
        <v>609</v>
      </c>
      <c r="E775" t="s">
        <v>610</v>
      </c>
      <c r="F775" t="s">
        <v>23</v>
      </c>
      <c r="G775" t="s">
        <v>532</v>
      </c>
      <c r="H775">
        <v>4.32</v>
      </c>
      <c r="I775">
        <v>116771</v>
      </c>
      <c r="J775" t="s">
        <v>19</v>
      </c>
      <c r="K775">
        <v>1041.3900000000001</v>
      </c>
      <c r="L775">
        <v>0</v>
      </c>
      <c r="M775">
        <v>3.99</v>
      </c>
      <c r="N775">
        <v>343</v>
      </c>
      <c r="O775" t="s">
        <v>27</v>
      </c>
      <c r="P775">
        <v>261</v>
      </c>
    </row>
    <row r="776" spans="1:16" x14ac:dyDescent="0.35">
      <c r="A776">
        <v>998</v>
      </c>
      <c r="B776">
        <v>2006</v>
      </c>
      <c r="C776" t="str">
        <f>IF(book_sales[[#This Row],[Publishing Year]]&lt;1900,"Classic (Before 1900)",IF(book_sales[[#This Row],[Publishing Year]]&lt;2000,"20th Century (1900-1999)","21st Century (2000+)"))</f>
        <v>21st Century (2000+)</v>
      </c>
      <c r="D776" t="s">
        <v>1697</v>
      </c>
      <c r="E776" t="s">
        <v>1698</v>
      </c>
      <c r="F776" t="s">
        <v>23</v>
      </c>
      <c r="G776" t="s">
        <v>24</v>
      </c>
      <c r="H776">
        <v>3.51</v>
      </c>
      <c r="I776">
        <v>51461</v>
      </c>
      <c r="J776" t="s">
        <v>19</v>
      </c>
      <c r="K776">
        <v>1327.32</v>
      </c>
      <c r="L776">
        <v>796.39200000000005</v>
      </c>
      <c r="M776">
        <v>12.29</v>
      </c>
      <c r="N776">
        <v>1179</v>
      </c>
      <c r="O776" t="s">
        <v>20</v>
      </c>
      <c r="P776">
        <v>108</v>
      </c>
    </row>
    <row r="777" spans="1:16" x14ac:dyDescent="0.35">
      <c r="A777">
        <v>675</v>
      </c>
      <c r="B777">
        <v>1994</v>
      </c>
      <c r="C777" t="str">
        <f>IF(book_sales[[#This Row],[Publishing Year]]&lt;1900,"Classic (Before 1900)",IF(book_sales[[#This Row],[Publishing Year]]&lt;2000,"20th Century (1900-1999)","21st Century (2000+)"))</f>
        <v>20th Century (1900-1999)</v>
      </c>
      <c r="D777" t="s">
        <v>1203</v>
      </c>
      <c r="E777" t="s">
        <v>1204</v>
      </c>
      <c r="F777" t="s">
        <v>23</v>
      </c>
      <c r="G777" t="s">
        <v>24</v>
      </c>
      <c r="H777">
        <v>3.57</v>
      </c>
      <c r="I777">
        <v>62106</v>
      </c>
      <c r="J777" t="s">
        <v>19</v>
      </c>
      <c r="K777">
        <v>915.11</v>
      </c>
      <c r="L777">
        <v>549.06600000000003</v>
      </c>
      <c r="M777">
        <v>7.69</v>
      </c>
      <c r="N777">
        <v>775</v>
      </c>
      <c r="O777" t="s">
        <v>46</v>
      </c>
      <c r="P777">
        <v>37584</v>
      </c>
    </row>
    <row r="778" spans="1:16" x14ac:dyDescent="0.35">
      <c r="A778">
        <v>98</v>
      </c>
      <c r="B778">
        <v>1998</v>
      </c>
      <c r="C778" t="str">
        <f>IF(book_sales[[#This Row],[Publishing Year]]&lt;1900,"Classic (Before 1900)",IF(book_sales[[#This Row],[Publishing Year]]&lt;2000,"20th Century (1900-1999)","21st Century (2000+)"))</f>
        <v>20th Century (1900-1999)</v>
      </c>
      <c r="D778" t="s">
        <v>216</v>
      </c>
      <c r="E778" t="s">
        <v>217</v>
      </c>
      <c r="F778" t="s">
        <v>23</v>
      </c>
      <c r="G778" t="s">
        <v>24</v>
      </c>
      <c r="H778">
        <v>3.69</v>
      </c>
      <c r="I778">
        <v>111856</v>
      </c>
      <c r="J778" t="s">
        <v>19</v>
      </c>
      <c r="K778">
        <v>6932.45</v>
      </c>
      <c r="L778">
        <v>4159.47</v>
      </c>
      <c r="M778">
        <v>6.83</v>
      </c>
      <c r="N778">
        <v>99</v>
      </c>
      <c r="O778" t="s">
        <v>34</v>
      </c>
      <c r="P778">
        <v>1015</v>
      </c>
    </row>
    <row r="779" spans="1:16" x14ac:dyDescent="0.35">
      <c r="A779">
        <v>177</v>
      </c>
      <c r="B779">
        <v>2003</v>
      </c>
      <c r="C779" t="str">
        <f>IF(book_sales[[#This Row],[Publishing Year]]&lt;1900,"Classic (Before 1900)",IF(book_sales[[#This Row],[Publishing Year]]&lt;2000,"20th Century (1900-1999)","21st Century (2000+)"))</f>
        <v>21st Century (2000+)</v>
      </c>
      <c r="D779" t="s">
        <v>353</v>
      </c>
      <c r="E779" t="s">
        <v>217</v>
      </c>
      <c r="F779" t="s">
        <v>23</v>
      </c>
      <c r="G779" t="s">
        <v>24</v>
      </c>
      <c r="H779">
        <v>3.69</v>
      </c>
      <c r="I779">
        <v>102206</v>
      </c>
      <c r="J779" t="s">
        <v>19</v>
      </c>
      <c r="K779">
        <v>534.6</v>
      </c>
      <c r="L779">
        <v>0</v>
      </c>
      <c r="M779">
        <v>0.99</v>
      </c>
      <c r="N779">
        <v>192</v>
      </c>
      <c r="O779" t="s">
        <v>27</v>
      </c>
      <c r="P779">
        <v>540</v>
      </c>
    </row>
    <row r="780" spans="1:16" x14ac:dyDescent="0.35">
      <c r="A780">
        <v>975</v>
      </c>
      <c r="B780">
        <v>2005</v>
      </c>
      <c r="C780" t="str">
        <f>IF(book_sales[[#This Row],[Publishing Year]]&lt;1900,"Classic (Before 1900)",IF(book_sales[[#This Row],[Publishing Year]]&lt;2000,"20th Century (1900-1999)","21st Century (2000+)"))</f>
        <v>21st Century (2000+)</v>
      </c>
      <c r="D780" t="s">
        <v>1658</v>
      </c>
      <c r="E780" t="s">
        <v>217</v>
      </c>
      <c r="F780" t="s">
        <v>23</v>
      </c>
      <c r="G780" t="s">
        <v>24</v>
      </c>
      <c r="H780">
        <v>3.56</v>
      </c>
      <c r="I780">
        <v>50921</v>
      </c>
      <c r="J780" t="s">
        <v>19</v>
      </c>
      <c r="K780">
        <v>434.91</v>
      </c>
      <c r="L780">
        <v>0</v>
      </c>
      <c r="M780">
        <v>3.99</v>
      </c>
      <c r="N780">
        <v>1151</v>
      </c>
      <c r="O780" t="s">
        <v>27</v>
      </c>
      <c r="P780">
        <v>4240</v>
      </c>
    </row>
    <row r="781" spans="1:16" x14ac:dyDescent="0.35">
      <c r="A781">
        <v>938</v>
      </c>
      <c r="B781">
        <v>1963</v>
      </c>
      <c r="C781" t="str">
        <f>IF(book_sales[[#This Row],[Publishing Year]]&lt;1900,"Classic (Before 1900)",IF(book_sales[[#This Row],[Publishing Year]]&lt;2000,"20th Century (1900-1999)","21st Century (2000+)"))</f>
        <v>20th Century (1900-1999)</v>
      </c>
      <c r="D781" t="s">
        <v>1601</v>
      </c>
      <c r="E781" t="s">
        <v>1602</v>
      </c>
      <c r="F781" t="s">
        <v>23</v>
      </c>
      <c r="G781" t="s">
        <v>532</v>
      </c>
      <c r="H781">
        <v>4.1500000000000004</v>
      </c>
      <c r="I781">
        <v>72329</v>
      </c>
      <c r="J781" t="s">
        <v>19</v>
      </c>
      <c r="K781">
        <v>878.9</v>
      </c>
      <c r="L781">
        <v>527.34</v>
      </c>
      <c r="M781">
        <v>7.99</v>
      </c>
      <c r="N781">
        <v>1102</v>
      </c>
      <c r="O781" t="s">
        <v>34</v>
      </c>
      <c r="P781">
        <v>4320</v>
      </c>
    </row>
    <row r="782" spans="1:16" x14ac:dyDescent="0.35">
      <c r="A782">
        <v>335</v>
      </c>
      <c r="B782">
        <v>1974</v>
      </c>
      <c r="C782" t="str">
        <f>IF(book_sales[[#This Row],[Publishing Year]]&lt;1900,"Classic (Before 1900)",IF(book_sales[[#This Row],[Publishing Year]]&lt;2000,"20th Century (1900-1999)","21st Century (2000+)"))</f>
        <v>20th Century (1900-1999)</v>
      </c>
      <c r="D782" t="s">
        <v>634</v>
      </c>
      <c r="E782" t="s">
        <v>635</v>
      </c>
      <c r="F782" t="s">
        <v>23</v>
      </c>
      <c r="G782" t="s">
        <v>24</v>
      </c>
      <c r="H782">
        <v>3.96</v>
      </c>
      <c r="I782">
        <v>102574</v>
      </c>
      <c r="J782" t="s">
        <v>19</v>
      </c>
      <c r="K782">
        <v>1227.54</v>
      </c>
      <c r="L782">
        <v>736.524</v>
      </c>
      <c r="M782">
        <v>4.99</v>
      </c>
      <c r="N782">
        <v>357</v>
      </c>
      <c r="O782" t="s">
        <v>66</v>
      </c>
      <c r="P782">
        <v>246</v>
      </c>
    </row>
    <row r="783" spans="1:16" x14ac:dyDescent="0.35">
      <c r="A783">
        <v>791</v>
      </c>
      <c r="B783">
        <v>1968</v>
      </c>
      <c r="C783" t="str">
        <f>IF(book_sales[[#This Row],[Publishing Year]]&lt;1900,"Classic (Before 1900)",IF(book_sales[[#This Row],[Publishing Year]]&lt;2000,"20th Century (1900-1999)","21st Century (2000+)"))</f>
        <v>20th Century (1900-1999)</v>
      </c>
      <c r="D783" t="s">
        <v>1388</v>
      </c>
      <c r="E783" t="s">
        <v>1389</v>
      </c>
      <c r="F783" t="s">
        <v>23</v>
      </c>
      <c r="G783" t="s">
        <v>532</v>
      </c>
      <c r="H783">
        <v>4.18</v>
      </c>
      <c r="I783">
        <v>76277</v>
      </c>
      <c r="J783" t="s">
        <v>19</v>
      </c>
      <c r="K783">
        <v>343.85</v>
      </c>
      <c r="L783">
        <v>0</v>
      </c>
      <c r="M783">
        <v>2.99</v>
      </c>
      <c r="N783">
        <v>916</v>
      </c>
      <c r="O783" t="s">
        <v>27</v>
      </c>
      <c r="P783">
        <v>2916</v>
      </c>
    </row>
    <row r="784" spans="1:16" x14ac:dyDescent="0.35">
      <c r="A784">
        <v>825</v>
      </c>
      <c r="B784">
        <v>2008</v>
      </c>
      <c r="C784" t="str">
        <f>IF(book_sales[[#This Row],[Publishing Year]]&lt;1900,"Classic (Before 1900)",IF(book_sales[[#This Row],[Publishing Year]]&lt;2000,"20th Century (1900-1999)","21st Century (2000+)"))</f>
        <v>21st Century (2000+)</v>
      </c>
      <c r="D784" t="s">
        <v>1435</v>
      </c>
      <c r="E784" t="s">
        <v>1436</v>
      </c>
      <c r="F784" t="s">
        <v>23</v>
      </c>
      <c r="G784" t="s">
        <v>532</v>
      </c>
      <c r="H784">
        <v>4.2699999999999996</v>
      </c>
      <c r="I784">
        <v>64416</v>
      </c>
      <c r="J784" t="s">
        <v>19</v>
      </c>
      <c r="K784">
        <v>454.86</v>
      </c>
      <c r="L784">
        <v>272.916</v>
      </c>
      <c r="M784">
        <v>3.99</v>
      </c>
      <c r="N784">
        <v>966</v>
      </c>
      <c r="O784" t="s">
        <v>27</v>
      </c>
      <c r="P784">
        <v>2889</v>
      </c>
    </row>
    <row r="785" spans="1:16" x14ac:dyDescent="0.35">
      <c r="A785">
        <v>443</v>
      </c>
      <c r="B785">
        <v>1962</v>
      </c>
      <c r="C785" t="str">
        <f>IF(book_sales[[#This Row],[Publishing Year]]&lt;1900,"Classic (Before 1900)",IF(book_sales[[#This Row],[Publishing Year]]&lt;2000,"20th Century (1900-1999)","21st Century (2000+)"))</f>
        <v>20th Century (1900-1999)</v>
      </c>
      <c r="D785" t="s">
        <v>821</v>
      </c>
      <c r="E785" t="s">
        <v>822</v>
      </c>
      <c r="F785" t="s">
        <v>23</v>
      </c>
      <c r="G785" t="s">
        <v>24</v>
      </c>
      <c r="H785">
        <v>3.66</v>
      </c>
      <c r="I785">
        <v>84180</v>
      </c>
      <c r="J785" t="s">
        <v>19</v>
      </c>
      <c r="K785">
        <v>2280.46</v>
      </c>
      <c r="L785">
        <v>1368.2760000000001</v>
      </c>
      <c r="M785">
        <v>12.74</v>
      </c>
      <c r="N785">
        <v>492</v>
      </c>
      <c r="O785" t="s">
        <v>31</v>
      </c>
      <c r="P785">
        <v>4833</v>
      </c>
    </row>
    <row r="786" spans="1:16" x14ac:dyDescent="0.35">
      <c r="A786">
        <v>406</v>
      </c>
      <c r="B786">
        <v>2000</v>
      </c>
      <c r="C786" t="str">
        <f>IF(book_sales[[#This Row],[Publishing Year]]&lt;1900,"Classic (Before 1900)",IF(book_sales[[#This Row],[Publishing Year]]&lt;2000,"20th Century (1900-1999)","21st Century (2000+)"))</f>
        <v>21st Century (2000+)</v>
      </c>
      <c r="D786" t="s">
        <v>763</v>
      </c>
      <c r="E786" t="s">
        <v>764</v>
      </c>
      <c r="F786" t="s">
        <v>23</v>
      </c>
      <c r="G786" t="s">
        <v>532</v>
      </c>
      <c r="H786">
        <v>4.25</v>
      </c>
      <c r="I786">
        <v>88227</v>
      </c>
      <c r="J786" t="s">
        <v>19</v>
      </c>
      <c r="K786">
        <v>603.98</v>
      </c>
      <c r="L786">
        <v>0</v>
      </c>
      <c r="M786">
        <v>2.99</v>
      </c>
      <c r="N786">
        <v>445</v>
      </c>
      <c r="O786" t="s">
        <v>27</v>
      </c>
      <c r="P786">
        <v>5454</v>
      </c>
    </row>
    <row r="787" spans="1:16" x14ac:dyDescent="0.35">
      <c r="A787">
        <v>169</v>
      </c>
      <c r="B787">
        <v>2005</v>
      </c>
      <c r="C787" t="str">
        <f>IF(book_sales[[#This Row],[Publishing Year]]&lt;1900,"Classic (Before 1900)",IF(book_sales[[#This Row],[Publishing Year]]&lt;2000,"20th Century (1900-1999)","21st Century (2000+)"))</f>
        <v>21st Century (2000+)</v>
      </c>
      <c r="D787" t="s">
        <v>338</v>
      </c>
      <c r="E787" t="s">
        <v>339</v>
      </c>
      <c r="F787" t="s">
        <v>17</v>
      </c>
      <c r="G787" t="s">
        <v>24</v>
      </c>
      <c r="H787">
        <v>3.88</v>
      </c>
      <c r="I787">
        <v>124786</v>
      </c>
      <c r="J787" t="s">
        <v>19</v>
      </c>
      <c r="K787">
        <v>3564.05</v>
      </c>
      <c r="L787">
        <v>2138.4299999999998</v>
      </c>
      <c r="M787">
        <v>5.99</v>
      </c>
      <c r="N787">
        <v>181</v>
      </c>
      <c r="O787" t="s">
        <v>34</v>
      </c>
      <c r="P787">
        <v>595</v>
      </c>
    </row>
    <row r="788" spans="1:16" x14ac:dyDescent="0.35">
      <c r="A788">
        <v>233</v>
      </c>
      <c r="B788">
        <v>2009</v>
      </c>
      <c r="C788" t="str">
        <f>IF(book_sales[[#This Row],[Publishing Year]]&lt;1900,"Classic (Before 1900)",IF(book_sales[[#This Row],[Publishing Year]]&lt;2000,"20th Century (1900-1999)","21st Century (2000+)"))</f>
        <v>21st Century (2000+)</v>
      </c>
      <c r="D788" t="s">
        <v>450</v>
      </c>
      <c r="E788" t="s">
        <v>339</v>
      </c>
      <c r="F788" t="s">
        <v>23</v>
      </c>
      <c r="G788" t="s">
        <v>24</v>
      </c>
      <c r="H788">
        <v>3.9</v>
      </c>
      <c r="I788">
        <v>119739</v>
      </c>
      <c r="J788" t="s">
        <v>19</v>
      </c>
      <c r="K788">
        <v>1685.04</v>
      </c>
      <c r="L788">
        <v>1011.024</v>
      </c>
      <c r="M788">
        <v>4.13</v>
      </c>
      <c r="N788">
        <v>255</v>
      </c>
      <c r="O788" t="s">
        <v>27</v>
      </c>
      <c r="P788">
        <v>408</v>
      </c>
    </row>
    <row r="789" spans="1:16" x14ac:dyDescent="0.35">
      <c r="A789">
        <v>970</v>
      </c>
      <c r="B789">
        <v>2003</v>
      </c>
      <c r="C789" t="str">
        <f>IF(book_sales[[#This Row],[Publishing Year]]&lt;1900,"Classic (Before 1900)",IF(book_sales[[#This Row],[Publishing Year]]&lt;2000,"20th Century (1900-1999)","21st Century (2000+)"))</f>
        <v>21st Century (2000+)</v>
      </c>
      <c r="D789" t="s">
        <v>1652</v>
      </c>
      <c r="E789" t="s">
        <v>339</v>
      </c>
      <c r="F789" t="s">
        <v>17</v>
      </c>
      <c r="G789" t="s">
        <v>24</v>
      </c>
      <c r="H789">
        <v>3.83</v>
      </c>
      <c r="I789">
        <v>69504</v>
      </c>
      <c r="J789" t="s">
        <v>19</v>
      </c>
      <c r="K789">
        <v>598.41</v>
      </c>
      <c r="L789">
        <v>359.04599999999999</v>
      </c>
      <c r="M789">
        <v>5.49</v>
      </c>
      <c r="N789">
        <v>1148</v>
      </c>
      <c r="O789" t="s">
        <v>66</v>
      </c>
      <c r="P789">
        <v>4240</v>
      </c>
    </row>
    <row r="790" spans="1:16" x14ac:dyDescent="0.35">
      <c r="A790">
        <v>1006</v>
      </c>
      <c r="B790">
        <v>2006</v>
      </c>
      <c r="C790" t="str">
        <f>IF(book_sales[[#This Row],[Publishing Year]]&lt;1900,"Classic (Before 1900)",IF(book_sales[[#This Row],[Publishing Year]]&lt;2000,"20th Century (1900-1999)","21st Century (2000+)"))</f>
        <v>21st Century (2000+)</v>
      </c>
      <c r="D790" t="s">
        <v>1707</v>
      </c>
      <c r="E790" t="s">
        <v>339</v>
      </c>
      <c r="F790" t="s">
        <v>23</v>
      </c>
      <c r="G790" t="s">
        <v>24</v>
      </c>
      <c r="H790">
        <v>3.84</v>
      </c>
      <c r="I790">
        <v>62135</v>
      </c>
      <c r="J790" t="s">
        <v>19</v>
      </c>
      <c r="K790">
        <v>646.91999999999996</v>
      </c>
      <c r="L790">
        <v>388.15199999999999</v>
      </c>
      <c r="M790">
        <v>5.99</v>
      </c>
      <c r="N790">
        <v>1193</v>
      </c>
      <c r="O790" t="s">
        <v>31</v>
      </c>
      <c r="P790">
        <v>108</v>
      </c>
    </row>
    <row r="791" spans="1:16" x14ac:dyDescent="0.35">
      <c r="A791">
        <v>327</v>
      </c>
      <c r="B791">
        <v>2014</v>
      </c>
      <c r="C791" t="str">
        <f>IF(book_sales[[#This Row],[Publishing Year]]&lt;1900,"Classic (Before 1900)",IF(book_sales[[#This Row],[Publishing Year]]&lt;2000,"20th Century (1900-1999)","21st Century (2000+)"))</f>
        <v>21st Century (2000+)</v>
      </c>
      <c r="D791" t="s">
        <v>620</v>
      </c>
      <c r="E791" t="s">
        <v>621</v>
      </c>
      <c r="F791" t="s">
        <v>23</v>
      </c>
      <c r="G791" t="s">
        <v>532</v>
      </c>
      <c r="H791">
        <v>4.26</v>
      </c>
      <c r="I791">
        <v>104939</v>
      </c>
      <c r="J791" t="s">
        <v>19</v>
      </c>
      <c r="K791">
        <v>246.51</v>
      </c>
      <c r="L791">
        <v>147.90600000000001</v>
      </c>
      <c r="M791">
        <v>0.99</v>
      </c>
      <c r="N791">
        <v>351</v>
      </c>
      <c r="O791" t="s">
        <v>27</v>
      </c>
      <c r="P791">
        <v>249</v>
      </c>
    </row>
    <row r="792" spans="1:16" x14ac:dyDescent="0.35">
      <c r="A792">
        <v>810</v>
      </c>
      <c r="B792">
        <v>2015</v>
      </c>
      <c r="C792" t="str">
        <f>IF(book_sales[[#This Row],[Publishing Year]]&lt;1900,"Classic (Before 1900)",IF(book_sales[[#This Row],[Publishing Year]]&lt;2000,"20th Century (1900-1999)","21st Century (2000+)"))</f>
        <v>21st Century (2000+)</v>
      </c>
      <c r="D792" t="s">
        <v>1418</v>
      </c>
      <c r="E792" t="s">
        <v>621</v>
      </c>
      <c r="F792" t="s">
        <v>23</v>
      </c>
      <c r="G792" t="s">
        <v>53</v>
      </c>
      <c r="H792">
        <v>4.46</v>
      </c>
      <c r="I792">
        <v>57614</v>
      </c>
      <c r="J792" t="s">
        <v>19</v>
      </c>
      <c r="K792">
        <v>112.86</v>
      </c>
      <c r="L792">
        <v>0</v>
      </c>
      <c r="M792">
        <v>0.99</v>
      </c>
      <c r="N792">
        <v>946</v>
      </c>
      <c r="O792" t="s">
        <v>27</v>
      </c>
      <c r="P792">
        <v>2916</v>
      </c>
    </row>
    <row r="793" spans="1:16" x14ac:dyDescent="0.35">
      <c r="A793">
        <v>86</v>
      </c>
      <c r="B793">
        <v>2010</v>
      </c>
      <c r="C793" t="str">
        <f>IF(book_sales[[#This Row],[Publishing Year]]&lt;1900,"Classic (Before 1900)",IF(book_sales[[#This Row],[Publishing Year]]&lt;2000,"20th Century (1900-1999)","21st Century (2000+)"))</f>
        <v>21st Century (2000+)</v>
      </c>
      <c r="D793" t="s">
        <v>195</v>
      </c>
      <c r="E793" t="s">
        <v>196</v>
      </c>
      <c r="F793" t="s">
        <v>23</v>
      </c>
      <c r="G793" t="s">
        <v>24</v>
      </c>
      <c r="H793">
        <v>3.7</v>
      </c>
      <c r="I793">
        <v>127186</v>
      </c>
      <c r="J793" t="s">
        <v>30</v>
      </c>
      <c r="K793">
        <v>2388</v>
      </c>
      <c r="L793">
        <v>0</v>
      </c>
      <c r="M793">
        <v>1.99</v>
      </c>
      <c r="N793">
        <v>87</v>
      </c>
      <c r="O793" t="s">
        <v>27</v>
      </c>
      <c r="P793">
        <v>1200</v>
      </c>
    </row>
    <row r="794" spans="1:16" x14ac:dyDescent="0.35">
      <c r="A794">
        <v>477</v>
      </c>
      <c r="B794">
        <v>2011</v>
      </c>
      <c r="C794" t="str">
        <f>IF(book_sales[[#This Row],[Publishing Year]]&lt;1900,"Classic (Before 1900)",IF(book_sales[[#This Row],[Publishing Year]]&lt;2000,"20th Century (1900-1999)","21st Century (2000+)"))</f>
        <v>21st Century (2000+)</v>
      </c>
      <c r="D794" t="s">
        <v>879</v>
      </c>
      <c r="E794" t="s">
        <v>880</v>
      </c>
      <c r="F794" t="s">
        <v>23</v>
      </c>
      <c r="G794" t="s">
        <v>532</v>
      </c>
      <c r="H794">
        <v>4.17</v>
      </c>
      <c r="I794">
        <v>97938</v>
      </c>
      <c r="J794" t="s">
        <v>30</v>
      </c>
      <c r="K794">
        <v>1843.79</v>
      </c>
      <c r="L794">
        <v>1106.2739999999999</v>
      </c>
      <c r="M794">
        <v>10.91</v>
      </c>
      <c r="N794">
        <v>526</v>
      </c>
      <c r="O794" t="s">
        <v>133</v>
      </c>
      <c r="P794">
        <v>4563</v>
      </c>
    </row>
    <row r="795" spans="1:16" x14ac:dyDescent="0.35">
      <c r="A795">
        <v>241</v>
      </c>
      <c r="B795">
        <v>-380</v>
      </c>
      <c r="C795" t="str">
        <f>IF(book_sales[[#This Row],[Publishing Year]]&lt;1900,"Classic (Before 1900)",IF(book_sales[[#This Row],[Publishing Year]]&lt;2000,"20th Century (1900-1999)","21st Century (2000+)"))</f>
        <v>Classic (Before 1900)</v>
      </c>
      <c r="D795" t="s">
        <v>465</v>
      </c>
      <c r="E795" t="s">
        <v>466</v>
      </c>
      <c r="F795" t="s">
        <v>23</v>
      </c>
      <c r="G795" t="s">
        <v>24</v>
      </c>
      <c r="H795">
        <v>3.9</v>
      </c>
      <c r="I795">
        <v>110274</v>
      </c>
      <c r="J795" t="s">
        <v>19</v>
      </c>
      <c r="K795">
        <v>387.09</v>
      </c>
      <c r="L795">
        <v>232.25399999999999</v>
      </c>
      <c r="M795">
        <v>0.99</v>
      </c>
      <c r="N795">
        <v>265</v>
      </c>
      <c r="O795" t="s">
        <v>27</v>
      </c>
      <c r="P795">
        <v>391</v>
      </c>
    </row>
    <row r="796" spans="1:16" x14ac:dyDescent="0.35">
      <c r="A796">
        <v>1052</v>
      </c>
      <c r="B796">
        <v>2006</v>
      </c>
      <c r="C796" t="str">
        <f>IF(book_sales[[#This Row],[Publishing Year]]&lt;1900,"Classic (Before 1900)",IF(book_sales[[#This Row],[Publishing Year]]&lt;2000,"20th Century (1900-1999)","21st Century (2000+)"))</f>
        <v>21st Century (2000+)</v>
      </c>
      <c r="D796" t="s">
        <v>1778</v>
      </c>
      <c r="E796" t="s">
        <v>1779</v>
      </c>
      <c r="F796" t="s">
        <v>17</v>
      </c>
      <c r="G796" t="s">
        <v>24</v>
      </c>
      <c r="H796">
        <v>3.73</v>
      </c>
      <c r="I796">
        <v>60372</v>
      </c>
      <c r="J796" t="s">
        <v>19</v>
      </c>
      <c r="K796">
        <v>846.94</v>
      </c>
      <c r="L796">
        <v>508.16399999999999</v>
      </c>
      <c r="M796">
        <v>7.99</v>
      </c>
      <c r="N796">
        <v>1247</v>
      </c>
      <c r="O796" t="s">
        <v>46</v>
      </c>
      <c r="P796">
        <v>106</v>
      </c>
    </row>
    <row r="797" spans="1:16" x14ac:dyDescent="0.35">
      <c r="A797">
        <v>609</v>
      </c>
      <c r="B797">
        <v>2010</v>
      </c>
      <c r="C797" t="str">
        <f>IF(book_sales[[#This Row],[Publishing Year]]&lt;1900,"Classic (Before 1900)",IF(book_sales[[#This Row],[Publishing Year]]&lt;2000,"20th Century (1900-1999)","21st Century (2000+)"))</f>
        <v>21st Century (2000+)</v>
      </c>
      <c r="D797" t="s">
        <v>1091</v>
      </c>
      <c r="E797" t="s">
        <v>1092</v>
      </c>
      <c r="F797" t="s">
        <v>23</v>
      </c>
      <c r="G797" t="s">
        <v>24</v>
      </c>
      <c r="H797">
        <v>3.96</v>
      </c>
      <c r="I797">
        <v>109881</v>
      </c>
      <c r="J797" t="s">
        <v>30</v>
      </c>
      <c r="K797">
        <v>526.67999999999995</v>
      </c>
      <c r="L797">
        <v>0</v>
      </c>
      <c r="M797">
        <v>3.99</v>
      </c>
      <c r="N797">
        <v>693</v>
      </c>
      <c r="O797" t="s">
        <v>27</v>
      </c>
      <c r="P797">
        <v>50544</v>
      </c>
    </row>
    <row r="798" spans="1:16" x14ac:dyDescent="0.35">
      <c r="A798">
        <v>305</v>
      </c>
      <c r="B798">
        <v>2012</v>
      </c>
      <c r="C798" t="str">
        <f>IF(book_sales[[#This Row],[Publishing Year]]&lt;1900,"Classic (Before 1900)",IF(book_sales[[#This Row],[Publishing Year]]&lt;2000,"20th Century (1900-1999)","21st Century (2000+)"))</f>
        <v>21st Century (2000+)</v>
      </c>
      <c r="D798" t="s">
        <v>579</v>
      </c>
      <c r="E798" t="s">
        <v>580</v>
      </c>
      <c r="F798" t="s">
        <v>23</v>
      </c>
      <c r="G798" t="s">
        <v>24</v>
      </c>
      <c r="H798">
        <v>3.89</v>
      </c>
      <c r="I798">
        <v>94012</v>
      </c>
      <c r="J798" t="s">
        <v>19</v>
      </c>
      <c r="K798">
        <v>3694.6</v>
      </c>
      <c r="L798">
        <v>2216.7600000000002</v>
      </c>
      <c r="M798">
        <v>12.74</v>
      </c>
      <c r="N798">
        <v>326</v>
      </c>
      <c r="O798" t="s">
        <v>31</v>
      </c>
      <c r="P798">
        <v>290</v>
      </c>
    </row>
    <row r="799" spans="1:16" x14ac:dyDescent="0.35">
      <c r="A799">
        <v>314</v>
      </c>
      <c r="B799">
        <v>2009</v>
      </c>
      <c r="C799" t="str">
        <f>IF(book_sales[[#This Row],[Publishing Year]]&lt;1900,"Classic (Before 1900)",IF(book_sales[[#This Row],[Publishing Year]]&lt;2000,"20th Century (1900-1999)","21st Century (2000+)"))</f>
        <v>21st Century (2000+)</v>
      </c>
      <c r="D799" t="s">
        <v>594</v>
      </c>
      <c r="E799" t="s">
        <v>595</v>
      </c>
      <c r="F799" t="s">
        <v>23</v>
      </c>
      <c r="G799" t="s">
        <v>532</v>
      </c>
      <c r="H799">
        <v>4.1900000000000004</v>
      </c>
      <c r="I799">
        <v>98628</v>
      </c>
      <c r="J799" t="s">
        <v>19</v>
      </c>
      <c r="K799">
        <v>2618.0700000000002</v>
      </c>
      <c r="L799">
        <v>1570.8420000000001</v>
      </c>
      <c r="M799">
        <v>9.59</v>
      </c>
      <c r="N799">
        <v>336</v>
      </c>
      <c r="O799" t="s">
        <v>20</v>
      </c>
      <c r="P799">
        <v>273</v>
      </c>
    </row>
    <row r="800" spans="1:16" x14ac:dyDescent="0.35">
      <c r="A800">
        <v>282</v>
      </c>
      <c r="B800">
        <v>2014</v>
      </c>
      <c r="C800" t="str">
        <f>IF(book_sales[[#This Row],[Publishing Year]]&lt;1900,"Classic (Before 1900)",IF(book_sales[[#This Row],[Publishing Year]]&lt;2000,"20th Century (1900-1999)","21st Century (2000+)"))</f>
        <v>21st Century (2000+)</v>
      </c>
      <c r="D800" t="s">
        <v>537</v>
      </c>
      <c r="E800" t="s">
        <v>538</v>
      </c>
      <c r="F800" t="s">
        <v>23</v>
      </c>
      <c r="G800" t="s">
        <v>24</v>
      </c>
      <c r="H800">
        <v>3.55</v>
      </c>
      <c r="I800">
        <v>113805</v>
      </c>
      <c r="J800" t="s">
        <v>19</v>
      </c>
      <c r="K800">
        <v>1300.74</v>
      </c>
      <c r="L800">
        <v>0</v>
      </c>
      <c r="M800">
        <v>3.99</v>
      </c>
      <c r="N800">
        <v>304</v>
      </c>
      <c r="O800" t="s">
        <v>27</v>
      </c>
      <c r="P800">
        <v>326</v>
      </c>
    </row>
    <row r="801" spans="1:16" x14ac:dyDescent="0.35">
      <c r="A801">
        <v>460</v>
      </c>
      <c r="B801">
        <v>2011</v>
      </c>
      <c r="C801" t="str">
        <f>IF(book_sales[[#This Row],[Publishing Year]]&lt;1900,"Classic (Before 1900)",IF(book_sales[[#This Row],[Publishing Year]]&lt;2000,"20th Century (1900-1999)","21st Century (2000+)"))</f>
        <v>21st Century (2000+)</v>
      </c>
      <c r="D801" t="s">
        <v>850</v>
      </c>
      <c r="E801" t="s">
        <v>538</v>
      </c>
      <c r="F801" t="s">
        <v>23</v>
      </c>
      <c r="G801" t="s">
        <v>24</v>
      </c>
      <c r="H801">
        <v>3.95</v>
      </c>
      <c r="I801">
        <v>105414</v>
      </c>
      <c r="J801" t="s">
        <v>19</v>
      </c>
      <c r="K801">
        <v>170.28</v>
      </c>
      <c r="L801">
        <v>102.16800000000001</v>
      </c>
      <c r="M801">
        <v>0.99</v>
      </c>
      <c r="N801">
        <v>511</v>
      </c>
      <c r="O801" t="s">
        <v>27</v>
      </c>
      <c r="P801">
        <v>4644</v>
      </c>
    </row>
    <row r="802" spans="1:16" x14ac:dyDescent="0.35">
      <c r="A802">
        <v>205</v>
      </c>
      <c r="B802">
        <v>1952</v>
      </c>
      <c r="C802" t="str">
        <f>IF(book_sales[[#This Row],[Publishing Year]]&lt;1900,"Classic (Before 1900)",IF(book_sales[[#This Row],[Publishing Year]]&lt;2000,"20th Century (1900-1999)","21st Century (2000+)"))</f>
        <v>20th Century (1900-1999)</v>
      </c>
      <c r="D802" t="s">
        <v>402</v>
      </c>
      <c r="E802" t="s">
        <v>403</v>
      </c>
      <c r="F802" t="s">
        <v>23</v>
      </c>
      <c r="G802" t="s">
        <v>24</v>
      </c>
      <c r="H802">
        <v>3.84</v>
      </c>
      <c r="I802">
        <v>123073</v>
      </c>
      <c r="J802" t="s">
        <v>19</v>
      </c>
      <c r="K802">
        <v>455.4</v>
      </c>
      <c r="L802">
        <v>0</v>
      </c>
      <c r="M802">
        <v>0.99</v>
      </c>
      <c r="N802">
        <v>224</v>
      </c>
      <c r="O802" t="s">
        <v>27</v>
      </c>
      <c r="P802">
        <v>460</v>
      </c>
    </row>
    <row r="803" spans="1:16" x14ac:dyDescent="0.35">
      <c r="A803">
        <v>996</v>
      </c>
      <c r="B803">
        <v>2014</v>
      </c>
      <c r="C803" t="str">
        <f>IF(book_sales[[#This Row],[Publishing Year]]&lt;1900,"Classic (Before 1900)",IF(book_sales[[#This Row],[Publishing Year]]&lt;2000,"20th Century (1900-1999)","21st Century (2000+)"))</f>
        <v>21st Century (2000+)</v>
      </c>
      <c r="D803" t="s">
        <v>1693</v>
      </c>
      <c r="E803" t="s">
        <v>1694</v>
      </c>
      <c r="F803" t="s">
        <v>23</v>
      </c>
      <c r="G803" t="s">
        <v>532</v>
      </c>
      <c r="H803">
        <v>4.17</v>
      </c>
      <c r="I803">
        <v>60236</v>
      </c>
      <c r="J803" t="s">
        <v>19</v>
      </c>
      <c r="K803">
        <v>1150.2</v>
      </c>
      <c r="L803">
        <v>690.12</v>
      </c>
      <c r="M803">
        <v>10.65</v>
      </c>
      <c r="N803">
        <v>1174</v>
      </c>
      <c r="O803" t="s">
        <v>34</v>
      </c>
      <c r="P803">
        <v>108</v>
      </c>
    </row>
    <row r="804" spans="1:16" x14ac:dyDescent="0.35">
      <c r="A804">
        <v>353</v>
      </c>
      <c r="B804">
        <v>2014</v>
      </c>
      <c r="C804" t="str">
        <f>IF(book_sales[[#This Row],[Publishing Year]]&lt;1900,"Classic (Before 1900)",IF(book_sales[[#This Row],[Publishing Year]]&lt;2000,"20th Century (1900-1999)","21st Century (2000+)"))</f>
        <v>21st Century (2000+)</v>
      </c>
      <c r="D804" t="s">
        <v>667</v>
      </c>
      <c r="E804" t="s">
        <v>668</v>
      </c>
      <c r="F804" t="s">
        <v>23</v>
      </c>
      <c r="G804" t="s">
        <v>532</v>
      </c>
      <c r="H804">
        <v>4.07</v>
      </c>
      <c r="I804">
        <v>73149</v>
      </c>
      <c r="J804" t="s">
        <v>19</v>
      </c>
      <c r="K804">
        <v>1642.65</v>
      </c>
      <c r="L804">
        <v>985.59</v>
      </c>
      <c r="M804">
        <v>6.99</v>
      </c>
      <c r="N804">
        <v>380</v>
      </c>
      <c r="O804" t="s">
        <v>34</v>
      </c>
      <c r="P804">
        <v>235</v>
      </c>
    </row>
    <row r="805" spans="1:16" x14ac:dyDescent="0.35">
      <c r="A805">
        <v>106</v>
      </c>
      <c r="B805">
        <v>1950</v>
      </c>
      <c r="C805" t="str">
        <f>IF(book_sales[[#This Row],[Publishing Year]]&lt;1900,"Classic (Before 1900)",IF(book_sales[[#This Row],[Publishing Year]]&lt;2000,"20th Century (1900-1999)","21st Century (2000+)"))</f>
        <v>20th Century (1900-1999)</v>
      </c>
      <c r="D805" t="s">
        <v>230</v>
      </c>
      <c r="E805" t="s">
        <v>231</v>
      </c>
      <c r="F805" t="s">
        <v>17</v>
      </c>
      <c r="G805" t="s">
        <v>24</v>
      </c>
      <c r="H805">
        <v>4.12</v>
      </c>
      <c r="I805">
        <v>143236</v>
      </c>
      <c r="J805" t="s">
        <v>19</v>
      </c>
      <c r="K805">
        <v>1880.55</v>
      </c>
      <c r="L805">
        <v>0</v>
      </c>
      <c r="M805">
        <v>1.99</v>
      </c>
      <c r="N805">
        <v>111</v>
      </c>
      <c r="O805" t="s">
        <v>27</v>
      </c>
      <c r="P805">
        <v>945</v>
      </c>
    </row>
    <row r="806" spans="1:16" x14ac:dyDescent="0.35">
      <c r="A806">
        <v>629</v>
      </c>
      <c r="B806">
        <v>1939</v>
      </c>
      <c r="C806" t="str">
        <f>IF(book_sales[[#This Row],[Publishing Year]]&lt;1900,"Classic (Before 1900)",IF(book_sales[[#This Row],[Publishing Year]]&lt;2000,"20th Century (1900-1999)","21st Century (2000+)"))</f>
        <v>20th Century (1900-1999)</v>
      </c>
      <c r="D806" t="s">
        <v>1125</v>
      </c>
      <c r="E806" t="s">
        <v>1126</v>
      </c>
      <c r="F806" t="s">
        <v>23</v>
      </c>
      <c r="G806" t="s">
        <v>532</v>
      </c>
      <c r="H806">
        <v>4.04</v>
      </c>
      <c r="I806">
        <v>84489</v>
      </c>
      <c r="J806" t="s">
        <v>19</v>
      </c>
      <c r="K806">
        <v>126.72</v>
      </c>
      <c r="L806">
        <v>76.031999999999996</v>
      </c>
      <c r="M806">
        <v>0.99</v>
      </c>
      <c r="N806">
        <v>713</v>
      </c>
      <c r="O806" t="s">
        <v>27</v>
      </c>
      <c r="P806">
        <v>47088</v>
      </c>
    </row>
    <row r="807" spans="1:16" x14ac:dyDescent="0.35">
      <c r="A807">
        <v>1062</v>
      </c>
      <c r="B807">
        <v>1982</v>
      </c>
      <c r="C807" t="str">
        <f>IF(book_sales[[#This Row],[Publishing Year]]&lt;1900,"Classic (Before 1900)",IF(book_sales[[#This Row],[Publishing Year]]&lt;2000,"20th Century (1900-1999)","21st Century (2000+)"))</f>
        <v>20th Century (1900-1999)</v>
      </c>
      <c r="D807" t="s">
        <v>1793</v>
      </c>
      <c r="E807" t="s">
        <v>1794</v>
      </c>
      <c r="F807" t="s">
        <v>17</v>
      </c>
      <c r="G807" t="s">
        <v>532</v>
      </c>
      <c r="H807">
        <v>4.17</v>
      </c>
      <c r="I807">
        <v>62432</v>
      </c>
      <c r="J807" t="s">
        <v>19</v>
      </c>
      <c r="K807">
        <v>815.14</v>
      </c>
      <c r="L807">
        <v>489.084</v>
      </c>
      <c r="M807">
        <v>7.69</v>
      </c>
      <c r="N807">
        <v>1265</v>
      </c>
      <c r="O807" t="s">
        <v>46</v>
      </c>
      <c r="P807">
        <v>106</v>
      </c>
    </row>
    <row r="808" spans="1:16" x14ac:dyDescent="0.35">
      <c r="A808">
        <v>738</v>
      </c>
      <c r="B808">
        <v>1994</v>
      </c>
      <c r="C808" t="str">
        <f>IF(book_sales[[#This Row],[Publishing Year]]&lt;1900,"Classic (Before 1900)",IF(book_sales[[#This Row],[Publishing Year]]&lt;2000,"20th Century (1900-1999)","21st Century (2000+)"))</f>
        <v>20th Century (1900-1999)</v>
      </c>
      <c r="D808" t="s">
        <v>1300</v>
      </c>
      <c r="E808" t="s">
        <v>1301</v>
      </c>
      <c r="F808" t="s">
        <v>23</v>
      </c>
      <c r="G808" t="s">
        <v>532</v>
      </c>
      <c r="H808">
        <v>4.0999999999999996</v>
      </c>
      <c r="I808">
        <v>72207</v>
      </c>
      <c r="J808" t="s">
        <v>19</v>
      </c>
      <c r="K808">
        <v>349.83</v>
      </c>
      <c r="L808">
        <v>0</v>
      </c>
      <c r="M808">
        <v>2.99</v>
      </c>
      <c r="N808">
        <v>846</v>
      </c>
      <c r="O808" t="s">
        <v>27</v>
      </c>
      <c r="P808">
        <v>32616</v>
      </c>
    </row>
    <row r="809" spans="1:16" x14ac:dyDescent="0.35">
      <c r="A809">
        <v>75</v>
      </c>
      <c r="B809">
        <v>1970</v>
      </c>
      <c r="C809" t="str">
        <f>IF(book_sales[[#This Row],[Publishing Year]]&lt;1900,"Classic (Before 1900)",IF(book_sales[[#This Row],[Publishing Year]]&lt;2000,"20th Century (1900-1999)","21st Century (2000+)"))</f>
        <v>20th Century (1900-1999)</v>
      </c>
      <c r="D809" t="s">
        <v>176</v>
      </c>
      <c r="E809" t="s">
        <v>177</v>
      </c>
      <c r="F809" t="s">
        <v>17</v>
      </c>
      <c r="G809" t="s">
        <v>24</v>
      </c>
      <c r="H809">
        <v>3.8</v>
      </c>
      <c r="I809">
        <v>133728</v>
      </c>
      <c r="J809" t="s">
        <v>19</v>
      </c>
      <c r="K809">
        <v>6751.47</v>
      </c>
      <c r="L809">
        <v>0</v>
      </c>
      <c r="M809">
        <v>4.99</v>
      </c>
      <c r="N809">
        <v>77</v>
      </c>
      <c r="O809" t="s">
        <v>27</v>
      </c>
      <c r="P809">
        <v>1353</v>
      </c>
    </row>
    <row r="810" spans="1:16" x14ac:dyDescent="0.35">
      <c r="A810">
        <v>174</v>
      </c>
      <c r="B810">
        <v>1984</v>
      </c>
      <c r="C810" t="str">
        <f>IF(book_sales[[#This Row],[Publishing Year]]&lt;1900,"Classic (Before 1900)",IF(book_sales[[#This Row],[Publishing Year]]&lt;2000,"20th Century (1900-1999)","21st Century (2000+)"))</f>
        <v>20th Century (1900-1999)</v>
      </c>
      <c r="D810" t="s">
        <v>347</v>
      </c>
      <c r="E810" t="s">
        <v>348</v>
      </c>
      <c r="F810" t="s">
        <v>92</v>
      </c>
      <c r="G810" t="s">
        <v>24</v>
      </c>
      <c r="H810">
        <v>3.66</v>
      </c>
      <c r="I810">
        <v>130219</v>
      </c>
      <c r="J810" t="s">
        <v>19</v>
      </c>
      <c r="K810">
        <v>1659.45</v>
      </c>
      <c r="L810">
        <v>0</v>
      </c>
      <c r="M810">
        <v>2.99</v>
      </c>
      <c r="N810">
        <v>189</v>
      </c>
      <c r="O810" t="s">
        <v>27</v>
      </c>
      <c r="P810">
        <v>555</v>
      </c>
    </row>
    <row r="811" spans="1:16" x14ac:dyDescent="0.35">
      <c r="A811">
        <v>757</v>
      </c>
      <c r="B811">
        <v>1979</v>
      </c>
      <c r="C811" t="str">
        <f>IF(book_sales[[#This Row],[Publishing Year]]&lt;1900,"Classic (Before 1900)",IF(book_sales[[#This Row],[Publishing Year]]&lt;2000,"20th Century (1900-1999)","21st Century (2000+)"))</f>
        <v>20th Century (1900-1999)</v>
      </c>
      <c r="D811" t="s">
        <v>1332</v>
      </c>
      <c r="E811" t="s">
        <v>348</v>
      </c>
      <c r="F811" t="s">
        <v>23</v>
      </c>
      <c r="G811" t="s">
        <v>532</v>
      </c>
      <c r="H811">
        <v>4.1100000000000003</v>
      </c>
      <c r="I811">
        <v>71775</v>
      </c>
      <c r="J811" t="s">
        <v>41</v>
      </c>
      <c r="K811">
        <v>462.84</v>
      </c>
      <c r="L811">
        <v>277.70400000000001</v>
      </c>
      <c r="M811">
        <v>3.99</v>
      </c>
      <c r="N811">
        <v>871</v>
      </c>
      <c r="O811" t="s">
        <v>31</v>
      </c>
      <c r="P811">
        <v>31320</v>
      </c>
    </row>
    <row r="812" spans="1:16" x14ac:dyDescent="0.35">
      <c r="A812">
        <v>799</v>
      </c>
      <c r="B812">
        <v>1997</v>
      </c>
      <c r="C812" t="str">
        <f>IF(book_sales[[#This Row],[Publishing Year]]&lt;1900,"Classic (Before 1900)",IF(book_sales[[#This Row],[Publishing Year]]&lt;2000,"20th Century (1900-1999)","21st Century (2000+)"))</f>
        <v>20th Century (1900-1999)</v>
      </c>
      <c r="D812" t="s">
        <v>1402</v>
      </c>
      <c r="E812" t="s">
        <v>1403</v>
      </c>
      <c r="F812" t="s">
        <v>23</v>
      </c>
      <c r="G812" t="s">
        <v>24</v>
      </c>
      <c r="H812">
        <v>3.95</v>
      </c>
      <c r="I812">
        <v>63324</v>
      </c>
      <c r="J812" t="s">
        <v>19</v>
      </c>
      <c r="K812">
        <v>884.35</v>
      </c>
      <c r="L812">
        <v>530.61</v>
      </c>
      <c r="M812">
        <v>7.69</v>
      </c>
      <c r="N812">
        <v>927</v>
      </c>
      <c r="O812" t="s">
        <v>46</v>
      </c>
      <c r="P812">
        <v>2916</v>
      </c>
    </row>
    <row r="813" spans="1:16" x14ac:dyDescent="0.35">
      <c r="A813">
        <v>369</v>
      </c>
      <c r="B813">
        <v>1976</v>
      </c>
      <c r="C813" t="str">
        <f>IF(book_sales[[#This Row],[Publishing Year]]&lt;1900,"Classic (Before 1900)",IF(book_sales[[#This Row],[Publishing Year]]&lt;2000,"20th Century (1900-1999)","21st Century (2000+)"))</f>
        <v>20th Century (1900-1999)</v>
      </c>
      <c r="D813" t="s">
        <v>693</v>
      </c>
      <c r="E813" t="s">
        <v>694</v>
      </c>
      <c r="F813" t="s">
        <v>23</v>
      </c>
      <c r="G813" t="s">
        <v>532</v>
      </c>
      <c r="H813">
        <v>4.1100000000000003</v>
      </c>
      <c r="I813">
        <v>96564</v>
      </c>
      <c r="J813" t="s">
        <v>19</v>
      </c>
      <c r="K813">
        <v>897.75</v>
      </c>
      <c r="L813">
        <v>538.65</v>
      </c>
      <c r="M813">
        <v>3.99</v>
      </c>
      <c r="N813">
        <v>400</v>
      </c>
      <c r="O813" t="s">
        <v>27</v>
      </c>
      <c r="P813">
        <v>6075</v>
      </c>
    </row>
    <row r="814" spans="1:16" x14ac:dyDescent="0.35">
      <c r="A814">
        <v>425</v>
      </c>
      <c r="B814">
        <v>1984</v>
      </c>
      <c r="C814" t="str">
        <f>IF(book_sales[[#This Row],[Publishing Year]]&lt;1900,"Classic (Before 1900)",IF(book_sales[[#This Row],[Publishing Year]]&lt;2000,"20th Century (1900-1999)","21st Century (2000+)"))</f>
        <v>20th Century (1900-1999)</v>
      </c>
      <c r="D814" t="s">
        <v>792</v>
      </c>
      <c r="E814" t="s">
        <v>793</v>
      </c>
      <c r="F814" t="s">
        <v>17</v>
      </c>
      <c r="G814" t="s">
        <v>532</v>
      </c>
      <c r="H814">
        <v>4.29</v>
      </c>
      <c r="I814">
        <v>91625</v>
      </c>
      <c r="J814" t="s">
        <v>19</v>
      </c>
      <c r="K814">
        <v>948.1</v>
      </c>
      <c r="L814">
        <v>0</v>
      </c>
      <c r="M814">
        <v>4.99</v>
      </c>
      <c r="N814">
        <v>470</v>
      </c>
      <c r="O814" t="s">
        <v>27</v>
      </c>
      <c r="P814">
        <v>5130</v>
      </c>
    </row>
    <row r="815" spans="1:16" x14ac:dyDescent="0.35">
      <c r="A815">
        <v>398</v>
      </c>
      <c r="B815">
        <v>1954</v>
      </c>
      <c r="C815" t="str">
        <f>IF(book_sales[[#This Row],[Publishing Year]]&lt;1900,"Classic (Before 1900)",IF(book_sales[[#This Row],[Publishing Year]]&lt;2000,"20th Century (1900-1999)","21st Century (2000+)"))</f>
        <v>20th Century (1900-1999)</v>
      </c>
      <c r="D815" t="s">
        <v>747</v>
      </c>
      <c r="E815" t="s">
        <v>748</v>
      </c>
      <c r="F815" t="s">
        <v>23</v>
      </c>
      <c r="G815" t="s">
        <v>24</v>
      </c>
      <c r="H815">
        <v>3.99</v>
      </c>
      <c r="I815">
        <v>98795</v>
      </c>
      <c r="J815" t="s">
        <v>19</v>
      </c>
      <c r="K815">
        <v>621.91999999999996</v>
      </c>
      <c r="L815">
        <v>0</v>
      </c>
      <c r="M815">
        <v>2.99</v>
      </c>
      <c r="N815">
        <v>433</v>
      </c>
      <c r="O815" t="s">
        <v>27</v>
      </c>
      <c r="P815">
        <v>5616</v>
      </c>
    </row>
    <row r="816" spans="1:16" x14ac:dyDescent="0.35">
      <c r="A816">
        <v>417</v>
      </c>
      <c r="B816">
        <v>2001</v>
      </c>
      <c r="C816" t="str">
        <f>IF(book_sales[[#This Row],[Publishing Year]]&lt;1900,"Classic (Before 1900)",IF(book_sales[[#This Row],[Publishing Year]]&lt;2000,"20th Century (1900-1999)","21st Century (2000+)"))</f>
        <v>21st Century (2000+)</v>
      </c>
      <c r="D816" t="s">
        <v>781</v>
      </c>
      <c r="E816" t="s">
        <v>782</v>
      </c>
      <c r="F816" t="s">
        <v>23</v>
      </c>
      <c r="G816" t="s">
        <v>24</v>
      </c>
      <c r="H816">
        <v>3.91</v>
      </c>
      <c r="I816">
        <v>90811</v>
      </c>
      <c r="J816" t="s">
        <v>19</v>
      </c>
      <c r="K816">
        <v>586.04</v>
      </c>
      <c r="L816">
        <v>0</v>
      </c>
      <c r="M816">
        <v>2.99</v>
      </c>
      <c r="N816">
        <v>458</v>
      </c>
      <c r="O816" t="s">
        <v>27</v>
      </c>
      <c r="P816">
        <v>5292</v>
      </c>
    </row>
    <row r="817" spans="1:16" x14ac:dyDescent="0.35">
      <c r="A817">
        <v>880</v>
      </c>
      <c r="B817">
        <v>1940</v>
      </c>
      <c r="C817" t="str">
        <f>IF(book_sales[[#This Row],[Publishing Year]]&lt;1900,"Classic (Before 1900)",IF(book_sales[[#This Row],[Publishing Year]]&lt;2000,"20th Century (1900-1999)","21st Century (2000+)"))</f>
        <v>20th Century (1900-1999)</v>
      </c>
      <c r="D817" t="s">
        <v>1513</v>
      </c>
      <c r="E817" t="s">
        <v>1514</v>
      </c>
      <c r="F817" t="s">
        <v>23</v>
      </c>
      <c r="G817" t="s">
        <v>24</v>
      </c>
      <c r="H817">
        <v>3.96</v>
      </c>
      <c r="I817">
        <v>66194</v>
      </c>
      <c r="J817" t="s">
        <v>19</v>
      </c>
      <c r="K817">
        <v>334.88</v>
      </c>
      <c r="L817">
        <v>0</v>
      </c>
      <c r="M817">
        <v>2.99</v>
      </c>
      <c r="N817">
        <v>1033</v>
      </c>
      <c r="O817" t="s">
        <v>27</v>
      </c>
      <c r="P817">
        <v>4440</v>
      </c>
    </row>
    <row r="818" spans="1:16" x14ac:dyDescent="0.35">
      <c r="A818">
        <v>1051</v>
      </c>
      <c r="B818">
        <v>1961</v>
      </c>
      <c r="C818" t="str">
        <f>IF(book_sales[[#This Row],[Publishing Year]]&lt;1900,"Classic (Before 1900)",IF(book_sales[[#This Row],[Publishing Year]]&lt;2000,"20th Century (1900-1999)","21st Century (2000+)"))</f>
        <v>20th Century (1900-1999)</v>
      </c>
      <c r="D818" t="s">
        <v>1776</v>
      </c>
      <c r="E818" t="s">
        <v>1777</v>
      </c>
      <c r="F818" t="s">
        <v>23</v>
      </c>
      <c r="G818" t="s">
        <v>24</v>
      </c>
      <c r="H818">
        <v>3.89</v>
      </c>
      <c r="I818">
        <v>56550</v>
      </c>
      <c r="J818" t="s">
        <v>19</v>
      </c>
      <c r="K818">
        <v>735.64</v>
      </c>
      <c r="L818">
        <v>441.38400000000001</v>
      </c>
      <c r="M818">
        <v>6.94</v>
      </c>
      <c r="N818">
        <v>1244</v>
      </c>
      <c r="O818" t="s">
        <v>34</v>
      </c>
      <c r="P818">
        <v>106</v>
      </c>
    </row>
    <row r="819" spans="1:16" x14ac:dyDescent="0.35">
      <c r="A819">
        <v>12</v>
      </c>
      <c r="B819">
        <v>2010</v>
      </c>
      <c r="C819" t="str">
        <f>IF(book_sales[[#This Row],[Publishing Year]]&lt;1900,"Classic (Before 1900)",IF(book_sales[[#This Row],[Publishing Year]]&lt;2000,"20th Century (1900-1999)","21st Century (2000+)"))</f>
        <v>21st Century (2000+)</v>
      </c>
      <c r="D819" t="s">
        <v>51</v>
      </c>
      <c r="E819" t="s">
        <v>52</v>
      </c>
      <c r="F819" t="s">
        <v>23</v>
      </c>
      <c r="G819" t="s">
        <v>53</v>
      </c>
      <c r="H819">
        <v>4.42</v>
      </c>
      <c r="I819">
        <v>206792</v>
      </c>
      <c r="J819" t="s">
        <v>19</v>
      </c>
      <c r="K819">
        <v>3431.34</v>
      </c>
      <c r="L819">
        <v>0</v>
      </c>
      <c r="M819">
        <v>0.99</v>
      </c>
      <c r="N819">
        <v>13</v>
      </c>
      <c r="O819" t="s">
        <v>27</v>
      </c>
      <c r="P819">
        <v>3466</v>
      </c>
    </row>
    <row r="820" spans="1:16" x14ac:dyDescent="0.35">
      <c r="A820">
        <v>228</v>
      </c>
      <c r="B820">
        <v>2011</v>
      </c>
      <c r="C820" t="str">
        <f>IF(book_sales[[#This Row],[Publishing Year]]&lt;1900,"Classic (Before 1900)",IF(book_sales[[#This Row],[Publishing Year]]&lt;2000,"20th Century (1900-1999)","21st Century (2000+)"))</f>
        <v>21st Century (2000+)</v>
      </c>
      <c r="D820" t="s">
        <v>442</v>
      </c>
      <c r="E820" t="s">
        <v>52</v>
      </c>
      <c r="F820" t="s">
        <v>17</v>
      </c>
      <c r="G820" t="s">
        <v>24</v>
      </c>
      <c r="H820">
        <v>4.22</v>
      </c>
      <c r="I820">
        <v>140599</v>
      </c>
      <c r="J820" t="s">
        <v>19</v>
      </c>
      <c r="K820">
        <v>413.82</v>
      </c>
      <c r="L820">
        <v>248.292</v>
      </c>
      <c r="M820">
        <v>0.99</v>
      </c>
      <c r="N820">
        <v>249</v>
      </c>
      <c r="O820" t="s">
        <v>133</v>
      </c>
      <c r="P820">
        <v>418</v>
      </c>
    </row>
    <row r="821" spans="1:16" x14ac:dyDescent="0.35">
      <c r="A821">
        <v>885</v>
      </c>
      <c r="B821">
        <v>2012</v>
      </c>
      <c r="C821" t="str">
        <f>IF(book_sales[[#This Row],[Publishing Year]]&lt;1900,"Classic (Before 1900)",IF(book_sales[[#This Row],[Publishing Year]]&lt;2000,"20th Century (1900-1999)","21st Century (2000+)"))</f>
        <v>21st Century (2000+)</v>
      </c>
      <c r="D821" t="s">
        <v>1521</v>
      </c>
      <c r="E821" t="s">
        <v>52</v>
      </c>
      <c r="F821" t="s">
        <v>17</v>
      </c>
      <c r="G821" t="s">
        <v>532</v>
      </c>
      <c r="H821">
        <v>4.3600000000000003</v>
      </c>
      <c r="I821">
        <v>86929</v>
      </c>
      <c r="J821" t="s">
        <v>19</v>
      </c>
      <c r="K821">
        <v>1230.8800000000001</v>
      </c>
      <c r="L821">
        <v>738.52800000000002</v>
      </c>
      <c r="M821">
        <v>10.99</v>
      </c>
      <c r="N821">
        <v>1037</v>
      </c>
      <c r="O821" t="s">
        <v>34</v>
      </c>
      <c r="P821">
        <v>4440</v>
      </c>
    </row>
    <row r="822" spans="1:16" x14ac:dyDescent="0.35">
      <c r="A822">
        <v>153</v>
      </c>
      <c r="B822">
        <v>2013</v>
      </c>
      <c r="C822" t="str">
        <f>IF(book_sales[[#This Row],[Publishing Year]]&lt;1900,"Classic (Before 1900)",IF(book_sales[[#This Row],[Publishing Year]]&lt;2000,"20th Century (1900-1999)","21st Century (2000+)"))</f>
        <v>21st Century (2000+)</v>
      </c>
      <c r="D822" t="s">
        <v>312</v>
      </c>
      <c r="E822" t="s">
        <v>313</v>
      </c>
      <c r="F822" t="s">
        <v>23</v>
      </c>
      <c r="G822" t="s">
        <v>53</v>
      </c>
      <c r="H822">
        <v>4.54</v>
      </c>
      <c r="I822">
        <v>159774</v>
      </c>
      <c r="J822" t="s">
        <v>41</v>
      </c>
      <c r="K822">
        <v>668.25</v>
      </c>
      <c r="L822">
        <v>400.95</v>
      </c>
      <c r="M822">
        <v>0.99</v>
      </c>
      <c r="N822">
        <v>165</v>
      </c>
      <c r="O822" t="s">
        <v>27</v>
      </c>
      <c r="P822">
        <v>675</v>
      </c>
    </row>
    <row r="823" spans="1:16" x14ac:dyDescent="0.35">
      <c r="A823">
        <v>378</v>
      </c>
      <c r="B823">
        <v>2011</v>
      </c>
      <c r="C823" t="str">
        <f>IF(book_sales[[#This Row],[Publishing Year]]&lt;1900,"Classic (Before 1900)",IF(book_sales[[#This Row],[Publishing Year]]&lt;2000,"20th Century (1900-1999)","21st Century (2000+)"))</f>
        <v>21st Century (2000+)</v>
      </c>
      <c r="D823" t="s">
        <v>710</v>
      </c>
      <c r="E823" t="s">
        <v>313</v>
      </c>
      <c r="F823" t="s">
        <v>23</v>
      </c>
      <c r="G823" t="s">
        <v>532</v>
      </c>
      <c r="H823">
        <v>4.2</v>
      </c>
      <c r="I823">
        <v>116360</v>
      </c>
      <c r="J823" t="s">
        <v>41</v>
      </c>
      <c r="K823">
        <v>2067.36</v>
      </c>
      <c r="L823">
        <v>1240.4159999999999</v>
      </c>
      <c r="M823">
        <v>9.44</v>
      </c>
      <c r="N823">
        <v>411</v>
      </c>
      <c r="O823" t="s">
        <v>27</v>
      </c>
      <c r="P823">
        <v>5913</v>
      </c>
    </row>
    <row r="824" spans="1:16" x14ac:dyDescent="0.35">
      <c r="A824">
        <v>496</v>
      </c>
      <c r="B824">
        <v>2014</v>
      </c>
      <c r="C824" t="str">
        <f>IF(book_sales[[#This Row],[Publishing Year]]&lt;1900,"Classic (Before 1900)",IF(book_sales[[#This Row],[Publishing Year]]&lt;2000,"20th Century (1900-1999)","21st Century (2000+)"))</f>
        <v>21st Century (2000+)</v>
      </c>
      <c r="D824" t="s">
        <v>907</v>
      </c>
      <c r="E824" t="s">
        <v>313</v>
      </c>
      <c r="F824" t="s">
        <v>23</v>
      </c>
      <c r="G824" t="s">
        <v>53</v>
      </c>
      <c r="H824">
        <v>4.41</v>
      </c>
      <c r="I824">
        <v>110719</v>
      </c>
      <c r="J824" t="s">
        <v>19</v>
      </c>
      <c r="K824">
        <v>162.36000000000001</v>
      </c>
      <c r="L824">
        <v>97.415999999999997</v>
      </c>
      <c r="M824">
        <v>0.99</v>
      </c>
      <c r="N824">
        <v>549</v>
      </c>
      <c r="O824" t="s">
        <v>27</v>
      </c>
      <c r="P824">
        <v>4428</v>
      </c>
    </row>
    <row r="825" spans="1:16" x14ac:dyDescent="0.35">
      <c r="A825">
        <v>828</v>
      </c>
      <c r="B825">
        <v>2012</v>
      </c>
      <c r="C825" t="str">
        <f>IF(book_sales[[#This Row],[Publishing Year]]&lt;1900,"Classic (Before 1900)",IF(book_sales[[#This Row],[Publishing Year]]&lt;2000,"20th Century (1900-1999)","21st Century (2000+)"))</f>
        <v>21st Century (2000+)</v>
      </c>
      <c r="D825" t="s">
        <v>1439</v>
      </c>
      <c r="E825" t="s">
        <v>313</v>
      </c>
      <c r="F825" t="s">
        <v>23</v>
      </c>
      <c r="G825" t="s">
        <v>532</v>
      </c>
      <c r="H825">
        <v>4.28</v>
      </c>
      <c r="I825">
        <v>82757</v>
      </c>
      <c r="J825" t="s">
        <v>19</v>
      </c>
      <c r="K825">
        <v>345.42</v>
      </c>
      <c r="L825">
        <v>0</v>
      </c>
      <c r="M825">
        <v>3.03</v>
      </c>
      <c r="N825">
        <v>968</v>
      </c>
      <c r="O825" t="s">
        <v>27</v>
      </c>
      <c r="P825">
        <v>2889</v>
      </c>
    </row>
    <row r="826" spans="1:16" x14ac:dyDescent="0.35">
      <c r="A826">
        <v>835</v>
      </c>
      <c r="B826">
        <v>2014</v>
      </c>
      <c r="C826" t="str">
        <f>IF(book_sales[[#This Row],[Publishing Year]]&lt;1900,"Classic (Before 1900)",IF(book_sales[[#This Row],[Publishing Year]]&lt;2000,"20th Century (1900-1999)","21st Century (2000+)"))</f>
        <v>21st Century (2000+)</v>
      </c>
      <c r="D826" t="s">
        <v>1447</v>
      </c>
      <c r="E826" t="s">
        <v>1448</v>
      </c>
      <c r="F826" t="s">
        <v>23</v>
      </c>
      <c r="G826" t="s">
        <v>24</v>
      </c>
      <c r="H826">
        <v>3.94</v>
      </c>
      <c r="I826">
        <v>78314</v>
      </c>
      <c r="J826" t="s">
        <v>19</v>
      </c>
      <c r="K826">
        <v>454.86</v>
      </c>
      <c r="L826">
        <v>0</v>
      </c>
      <c r="M826">
        <v>3.99</v>
      </c>
      <c r="N826">
        <v>973</v>
      </c>
      <c r="O826" t="s">
        <v>27</v>
      </c>
      <c r="P826">
        <v>2889</v>
      </c>
    </row>
    <row r="827" spans="1:16" x14ac:dyDescent="0.35">
      <c r="A827">
        <v>727</v>
      </c>
      <c r="B827">
        <v>1980</v>
      </c>
      <c r="C827" t="str">
        <f>IF(book_sales[[#This Row],[Publishing Year]]&lt;1900,"Classic (Before 1900)",IF(book_sales[[#This Row],[Publishing Year]]&lt;2000,"20th Century (1900-1999)","21st Century (2000+)"))</f>
        <v>20th Century (1900-1999)</v>
      </c>
      <c r="D827" t="s">
        <v>1284</v>
      </c>
      <c r="E827" t="s">
        <v>1285</v>
      </c>
      <c r="F827" t="s">
        <v>23</v>
      </c>
      <c r="G827" t="s">
        <v>24</v>
      </c>
      <c r="H827">
        <v>3.94</v>
      </c>
      <c r="I827">
        <v>82458</v>
      </c>
      <c r="J827" t="s">
        <v>19</v>
      </c>
      <c r="K827">
        <v>855.27</v>
      </c>
      <c r="L827">
        <v>513.16200000000003</v>
      </c>
      <c r="M827">
        <v>7.31</v>
      </c>
      <c r="N827">
        <v>836</v>
      </c>
      <c r="O827" t="s">
        <v>46</v>
      </c>
      <c r="P827">
        <v>33696</v>
      </c>
    </row>
    <row r="828" spans="1:16" x14ac:dyDescent="0.35">
      <c r="A828">
        <v>102</v>
      </c>
      <c r="B828">
        <v>1959</v>
      </c>
      <c r="C828" t="str">
        <f>IF(book_sales[[#This Row],[Publishing Year]]&lt;1900,"Classic (Before 1900)",IF(book_sales[[#This Row],[Publishing Year]]&lt;2000,"20th Century (1900-1999)","21st Century (2000+)"))</f>
        <v>20th Century (1900-1999)</v>
      </c>
      <c r="D828" t="s">
        <v>223</v>
      </c>
      <c r="E828" t="s">
        <v>224</v>
      </c>
      <c r="F828" t="s">
        <v>144</v>
      </c>
      <c r="G828" t="s">
        <v>24</v>
      </c>
      <c r="H828">
        <v>3.99</v>
      </c>
      <c r="I828">
        <v>136886</v>
      </c>
      <c r="J828" t="s">
        <v>19</v>
      </c>
      <c r="K828">
        <v>7312.5</v>
      </c>
      <c r="L828">
        <v>4387.5</v>
      </c>
      <c r="M828">
        <v>7.5</v>
      </c>
      <c r="N828">
        <v>105</v>
      </c>
      <c r="O828" t="s">
        <v>31</v>
      </c>
      <c r="P828">
        <v>975</v>
      </c>
    </row>
    <row r="829" spans="1:16" x14ac:dyDescent="0.35">
      <c r="A829">
        <v>648</v>
      </c>
      <c r="B829">
        <v>1966</v>
      </c>
      <c r="C829" t="str">
        <f>IF(book_sales[[#This Row],[Publishing Year]]&lt;1900,"Classic (Before 1900)",IF(book_sales[[#This Row],[Publishing Year]]&lt;2000,"20th Century (1900-1999)","21st Century (2000+)"))</f>
        <v>20th Century (1900-1999)</v>
      </c>
      <c r="D829" t="s">
        <v>1156</v>
      </c>
      <c r="E829" t="s">
        <v>224</v>
      </c>
      <c r="F829" t="s">
        <v>23</v>
      </c>
      <c r="G829" t="s">
        <v>532</v>
      </c>
      <c r="H829">
        <v>4.17</v>
      </c>
      <c r="I829">
        <v>80366</v>
      </c>
      <c r="J829" t="s">
        <v>19</v>
      </c>
      <c r="K829">
        <v>930.49</v>
      </c>
      <c r="L829">
        <v>558.29399999999998</v>
      </c>
      <c r="M829">
        <v>7.69</v>
      </c>
      <c r="N829">
        <v>743</v>
      </c>
      <c r="O829" t="s">
        <v>34</v>
      </c>
      <c r="P829">
        <v>43416</v>
      </c>
    </row>
    <row r="830" spans="1:16" x14ac:dyDescent="0.35">
      <c r="A830">
        <v>207</v>
      </c>
      <c r="B830">
        <v>1971</v>
      </c>
      <c r="C830" t="str">
        <f>IF(book_sales[[#This Row],[Publishing Year]]&lt;1900,"Classic (Before 1900)",IF(book_sales[[#This Row],[Publishing Year]]&lt;2000,"20th Century (1900-1999)","21st Century (2000+)"))</f>
        <v>20th Century (1900-1999)</v>
      </c>
      <c r="D830" t="s">
        <v>406</v>
      </c>
      <c r="E830" t="s">
        <v>407</v>
      </c>
      <c r="G830" t="s">
        <v>24</v>
      </c>
      <c r="H830">
        <v>4.13</v>
      </c>
      <c r="I830">
        <v>135978</v>
      </c>
      <c r="J830" t="s">
        <v>19</v>
      </c>
      <c r="K830">
        <v>1815.45</v>
      </c>
      <c r="L830">
        <v>1089.27</v>
      </c>
      <c r="M830">
        <v>3.99</v>
      </c>
      <c r="N830">
        <v>227</v>
      </c>
      <c r="O830" t="s">
        <v>27</v>
      </c>
      <c r="P830">
        <v>455</v>
      </c>
    </row>
    <row r="831" spans="1:16" x14ac:dyDescent="0.35">
      <c r="A831">
        <v>164</v>
      </c>
      <c r="B831">
        <v>2014</v>
      </c>
      <c r="C831" t="str">
        <f>IF(book_sales[[#This Row],[Publishing Year]]&lt;1900,"Classic (Before 1900)",IF(book_sales[[#This Row],[Publishing Year]]&lt;2000,"20th Century (1900-1999)","21st Century (2000+)"))</f>
        <v>21st Century (2000+)</v>
      </c>
      <c r="D831" t="s">
        <v>328</v>
      </c>
      <c r="E831" t="s">
        <v>329</v>
      </c>
      <c r="F831" t="s">
        <v>23</v>
      </c>
      <c r="G831" t="s">
        <v>24</v>
      </c>
      <c r="H831">
        <v>4.03</v>
      </c>
      <c r="I831">
        <v>120008</v>
      </c>
      <c r="J831" t="s">
        <v>19</v>
      </c>
      <c r="K831">
        <v>608.85</v>
      </c>
      <c r="L831">
        <v>0</v>
      </c>
      <c r="M831">
        <v>0.99</v>
      </c>
      <c r="N831">
        <v>177</v>
      </c>
      <c r="O831" t="s">
        <v>27</v>
      </c>
      <c r="P831">
        <v>615</v>
      </c>
    </row>
    <row r="832" spans="1:16" x14ac:dyDescent="0.35">
      <c r="A832">
        <v>534</v>
      </c>
      <c r="B832">
        <v>2015</v>
      </c>
      <c r="C832" t="str">
        <f>IF(book_sales[[#This Row],[Publishing Year]]&lt;1900,"Classic (Before 1900)",IF(book_sales[[#This Row],[Publishing Year]]&lt;2000,"20th Century (1900-1999)","21st Century (2000+)"))</f>
        <v>21st Century (2000+)</v>
      </c>
      <c r="D832" t="s">
        <v>969</v>
      </c>
      <c r="E832" t="s">
        <v>329</v>
      </c>
      <c r="F832" t="s">
        <v>23</v>
      </c>
      <c r="G832" t="s">
        <v>532</v>
      </c>
      <c r="H832">
        <v>4.21</v>
      </c>
      <c r="I832">
        <v>66979</v>
      </c>
      <c r="J832" t="s">
        <v>19</v>
      </c>
      <c r="K832">
        <v>1167.32</v>
      </c>
      <c r="L832">
        <v>700.39200000000005</v>
      </c>
      <c r="M832">
        <v>7.58</v>
      </c>
      <c r="N832">
        <v>595</v>
      </c>
      <c r="O832" t="s">
        <v>34</v>
      </c>
      <c r="P832">
        <v>4158</v>
      </c>
    </row>
    <row r="833" spans="1:16" x14ac:dyDescent="0.35">
      <c r="A833">
        <v>191</v>
      </c>
      <c r="B833">
        <v>1992</v>
      </c>
      <c r="C833" t="str">
        <f>IF(book_sales[[#This Row],[Publishing Year]]&lt;1900,"Classic (Before 1900)",IF(book_sales[[#This Row],[Publishing Year]]&lt;2000,"20th Century (1900-1999)","21st Century (2000+)"))</f>
        <v>20th Century (1900-1999)</v>
      </c>
      <c r="D833" t="s">
        <v>374</v>
      </c>
      <c r="E833" t="s">
        <v>375</v>
      </c>
      <c r="F833" t="s">
        <v>17</v>
      </c>
      <c r="G833" t="s">
        <v>24</v>
      </c>
      <c r="H833">
        <v>4.21</v>
      </c>
      <c r="I833">
        <v>122524</v>
      </c>
      <c r="J833" t="s">
        <v>41</v>
      </c>
      <c r="K833">
        <v>2057.58</v>
      </c>
      <c r="L833">
        <v>1234.548</v>
      </c>
      <c r="M833">
        <v>4.26</v>
      </c>
      <c r="N833">
        <v>210</v>
      </c>
      <c r="O833" t="s">
        <v>376</v>
      </c>
      <c r="P833">
        <v>483</v>
      </c>
    </row>
    <row r="834" spans="1:16" x14ac:dyDescent="0.35">
      <c r="A834">
        <v>418</v>
      </c>
      <c r="B834">
        <v>1993</v>
      </c>
      <c r="C834" t="str">
        <f>IF(book_sales[[#This Row],[Publishing Year]]&lt;1900,"Classic (Before 1900)",IF(book_sales[[#This Row],[Publishing Year]]&lt;2000,"20th Century (1900-1999)","21st Century (2000+)"))</f>
        <v>20th Century (1900-1999)</v>
      </c>
      <c r="D834" t="s">
        <v>783</v>
      </c>
      <c r="E834" t="s">
        <v>375</v>
      </c>
      <c r="F834" t="s">
        <v>17</v>
      </c>
      <c r="G834" t="s">
        <v>532</v>
      </c>
      <c r="H834">
        <v>4.13</v>
      </c>
      <c r="I834">
        <v>93227</v>
      </c>
      <c r="J834" t="s">
        <v>608</v>
      </c>
      <c r="K834">
        <v>1480.05</v>
      </c>
      <c r="L834">
        <v>888.03</v>
      </c>
      <c r="M834">
        <v>7.59</v>
      </c>
      <c r="N834">
        <v>459</v>
      </c>
      <c r="O834" t="s">
        <v>46</v>
      </c>
      <c r="P834">
        <v>5265</v>
      </c>
    </row>
    <row r="835" spans="1:16" x14ac:dyDescent="0.35">
      <c r="A835">
        <v>588</v>
      </c>
      <c r="B835">
        <v>1996</v>
      </c>
      <c r="C835" t="str">
        <f>IF(book_sales[[#This Row],[Publishing Year]]&lt;1900,"Classic (Before 1900)",IF(book_sales[[#This Row],[Publishing Year]]&lt;2000,"20th Century (1900-1999)","21st Century (2000+)"))</f>
        <v>20th Century (1900-1999)</v>
      </c>
      <c r="D835" t="s">
        <v>1060</v>
      </c>
      <c r="E835" t="s">
        <v>375</v>
      </c>
      <c r="F835" t="s">
        <v>23</v>
      </c>
      <c r="G835" t="s">
        <v>24</v>
      </c>
      <c r="H835">
        <v>4</v>
      </c>
      <c r="I835">
        <v>86421</v>
      </c>
      <c r="J835" t="s">
        <v>41</v>
      </c>
      <c r="K835">
        <v>137.61000000000001</v>
      </c>
      <c r="L835">
        <v>0</v>
      </c>
      <c r="M835">
        <v>0.99</v>
      </c>
      <c r="N835">
        <v>661</v>
      </c>
      <c r="O835" t="s">
        <v>27</v>
      </c>
      <c r="P835">
        <v>54000</v>
      </c>
    </row>
    <row r="836" spans="1:16" x14ac:dyDescent="0.35">
      <c r="A836">
        <v>718</v>
      </c>
      <c r="B836">
        <v>1998</v>
      </c>
      <c r="C836" t="str">
        <f>IF(book_sales[[#This Row],[Publishing Year]]&lt;1900,"Classic (Before 1900)",IF(book_sales[[#This Row],[Publishing Year]]&lt;2000,"20th Century (1900-1999)","21st Century (2000+)"))</f>
        <v>20th Century (1900-1999)</v>
      </c>
      <c r="D836" t="s">
        <v>1269</v>
      </c>
      <c r="E836" t="s">
        <v>375</v>
      </c>
      <c r="F836" t="s">
        <v>23</v>
      </c>
      <c r="G836" t="s">
        <v>24</v>
      </c>
      <c r="H836">
        <v>3.9</v>
      </c>
      <c r="I836">
        <v>74815</v>
      </c>
      <c r="J836" t="s">
        <v>19</v>
      </c>
      <c r="K836">
        <v>234.82</v>
      </c>
      <c r="L836">
        <v>140.892</v>
      </c>
      <c r="M836">
        <v>1.99</v>
      </c>
      <c r="N836">
        <v>824</v>
      </c>
      <c r="O836" t="s">
        <v>27</v>
      </c>
      <c r="P836">
        <v>34560</v>
      </c>
    </row>
    <row r="837" spans="1:16" x14ac:dyDescent="0.35">
      <c r="A837">
        <v>747</v>
      </c>
      <c r="B837">
        <v>2005</v>
      </c>
      <c r="C837" t="str">
        <f>IF(book_sales[[#This Row],[Publishing Year]]&lt;1900,"Classic (Before 1900)",IF(book_sales[[#This Row],[Publishing Year]]&lt;2000,"20th Century (1900-1999)","21st Century (2000+)"))</f>
        <v>21st Century (2000+)</v>
      </c>
      <c r="D837" t="s">
        <v>1314</v>
      </c>
      <c r="E837" t="s">
        <v>375</v>
      </c>
      <c r="F837" t="s">
        <v>17</v>
      </c>
      <c r="G837" t="s">
        <v>532</v>
      </c>
      <c r="H837">
        <v>4.12</v>
      </c>
      <c r="I837">
        <v>71379</v>
      </c>
      <c r="J837" t="s">
        <v>19</v>
      </c>
      <c r="K837">
        <v>349.83</v>
      </c>
      <c r="L837">
        <v>0</v>
      </c>
      <c r="M837">
        <v>2.99</v>
      </c>
      <c r="N837">
        <v>860</v>
      </c>
      <c r="O837" t="s">
        <v>27</v>
      </c>
      <c r="P837">
        <v>31752</v>
      </c>
    </row>
    <row r="838" spans="1:16" x14ac:dyDescent="0.35">
      <c r="A838">
        <v>994</v>
      </c>
      <c r="B838">
        <v>2003</v>
      </c>
      <c r="C838" t="str">
        <f>IF(book_sales[[#This Row],[Publishing Year]]&lt;1900,"Classic (Before 1900)",IF(book_sales[[#This Row],[Publishing Year]]&lt;2000,"20th Century (1900-1999)","21st Century (2000+)"))</f>
        <v>21st Century (2000+)</v>
      </c>
      <c r="D838" t="s">
        <v>1690</v>
      </c>
      <c r="E838" t="s">
        <v>375</v>
      </c>
      <c r="F838" t="s">
        <v>17</v>
      </c>
      <c r="G838" t="s">
        <v>24</v>
      </c>
      <c r="H838">
        <v>3.82</v>
      </c>
      <c r="I838">
        <v>61361</v>
      </c>
      <c r="J838" t="s">
        <v>19</v>
      </c>
      <c r="K838">
        <v>430.92</v>
      </c>
      <c r="L838">
        <v>0</v>
      </c>
      <c r="M838">
        <v>3.99</v>
      </c>
      <c r="N838">
        <v>1170</v>
      </c>
      <c r="O838" t="s">
        <v>27</v>
      </c>
      <c r="P838">
        <v>108</v>
      </c>
    </row>
    <row r="839" spans="1:16" x14ac:dyDescent="0.35">
      <c r="A839">
        <v>429</v>
      </c>
      <c r="B839">
        <v>2009</v>
      </c>
      <c r="C839" t="str">
        <f>IF(book_sales[[#This Row],[Publishing Year]]&lt;1900,"Classic (Before 1900)",IF(book_sales[[#This Row],[Publishing Year]]&lt;2000,"20th Century (1900-1999)","21st Century (2000+)"))</f>
        <v>21st Century (2000+)</v>
      </c>
      <c r="D839" t="s">
        <v>799</v>
      </c>
      <c r="E839" t="s">
        <v>800</v>
      </c>
      <c r="F839" t="s">
        <v>23</v>
      </c>
      <c r="G839" t="s">
        <v>532</v>
      </c>
      <c r="H839">
        <v>4.34</v>
      </c>
      <c r="I839">
        <v>94095</v>
      </c>
      <c r="J839" t="s">
        <v>19</v>
      </c>
      <c r="K839">
        <v>750.12</v>
      </c>
      <c r="L839">
        <v>0</v>
      </c>
      <c r="M839">
        <v>3.99</v>
      </c>
      <c r="N839">
        <v>473</v>
      </c>
      <c r="O839" t="s">
        <v>27</v>
      </c>
      <c r="P839">
        <v>5076</v>
      </c>
    </row>
    <row r="840" spans="1:16" x14ac:dyDescent="0.35">
      <c r="A840">
        <v>457</v>
      </c>
      <c r="B840">
        <v>2010</v>
      </c>
      <c r="C840" t="str">
        <f>IF(book_sales[[#This Row],[Publishing Year]]&lt;1900,"Classic (Before 1900)",IF(book_sales[[#This Row],[Publishing Year]]&lt;2000,"20th Century (1900-1999)","21st Century (2000+)"))</f>
        <v>21st Century (2000+)</v>
      </c>
      <c r="D840" t="s">
        <v>845</v>
      </c>
      <c r="E840" t="s">
        <v>800</v>
      </c>
      <c r="F840" t="s">
        <v>17</v>
      </c>
      <c r="G840" t="s">
        <v>53</v>
      </c>
      <c r="H840">
        <v>4.42</v>
      </c>
      <c r="I840">
        <v>91383</v>
      </c>
      <c r="J840" t="s">
        <v>30</v>
      </c>
      <c r="K840">
        <v>344.27</v>
      </c>
      <c r="L840">
        <v>206.56200000000001</v>
      </c>
      <c r="M840">
        <v>1.99</v>
      </c>
      <c r="N840">
        <v>505</v>
      </c>
      <c r="O840" t="s">
        <v>27</v>
      </c>
      <c r="P840">
        <v>4671</v>
      </c>
    </row>
    <row r="841" spans="1:16" x14ac:dyDescent="0.35">
      <c r="A841">
        <v>843</v>
      </c>
      <c r="B841">
        <v>2012</v>
      </c>
      <c r="C841" t="str">
        <f>IF(book_sales[[#This Row],[Publishing Year]]&lt;1900,"Classic (Before 1900)",IF(book_sales[[#This Row],[Publishing Year]]&lt;2000,"20th Century (1900-1999)","21st Century (2000+)"))</f>
        <v>21st Century (2000+)</v>
      </c>
      <c r="D841" t="s">
        <v>1461</v>
      </c>
      <c r="E841" t="s">
        <v>800</v>
      </c>
      <c r="F841" t="s">
        <v>23</v>
      </c>
      <c r="G841" t="s">
        <v>53</v>
      </c>
      <c r="H841">
        <v>4.5</v>
      </c>
      <c r="I841">
        <v>68410</v>
      </c>
      <c r="J841" t="s">
        <v>19</v>
      </c>
      <c r="K841">
        <v>450.87</v>
      </c>
      <c r="L841">
        <v>0</v>
      </c>
      <c r="M841">
        <v>3.99</v>
      </c>
      <c r="N841">
        <v>986</v>
      </c>
      <c r="O841" t="s">
        <v>27</v>
      </c>
      <c r="P841">
        <v>2889</v>
      </c>
    </row>
    <row r="842" spans="1:16" x14ac:dyDescent="0.35">
      <c r="A842">
        <v>873</v>
      </c>
      <c r="B842">
        <v>2011</v>
      </c>
      <c r="C842" t="str">
        <f>IF(book_sales[[#This Row],[Publishing Year]]&lt;1900,"Classic (Before 1900)",IF(book_sales[[#This Row],[Publishing Year]]&lt;2000,"20th Century (1900-1999)","21st Century (2000+)"))</f>
        <v>21st Century (2000+)</v>
      </c>
      <c r="D842" t="s">
        <v>1504</v>
      </c>
      <c r="E842" t="s">
        <v>1505</v>
      </c>
      <c r="F842" t="s">
        <v>144</v>
      </c>
      <c r="G842" t="s">
        <v>24</v>
      </c>
      <c r="H842">
        <v>3.91</v>
      </c>
      <c r="I842">
        <v>66591</v>
      </c>
      <c r="J842" t="s">
        <v>19</v>
      </c>
      <c r="K842">
        <v>110.88</v>
      </c>
      <c r="L842">
        <v>0</v>
      </c>
      <c r="M842">
        <v>0.99</v>
      </c>
      <c r="N842">
        <v>1023</v>
      </c>
      <c r="O842" t="s">
        <v>27</v>
      </c>
      <c r="P842">
        <v>4480</v>
      </c>
    </row>
    <row r="843" spans="1:16" x14ac:dyDescent="0.35">
      <c r="A843">
        <v>920</v>
      </c>
      <c r="B843">
        <v>2009</v>
      </c>
      <c r="C843" t="str">
        <f>IF(book_sales[[#This Row],[Publishing Year]]&lt;1900,"Classic (Before 1900)",IF(book_sales[[#This Row],[Publishing Year]]&lt;2000,"20th Century (1900-1999)","21st Century (2000+)"))</f>
        <v>21st Century (2000+)</v>
      </c>
      <c r="D843" t="s">
        <v>1573</v>
      </c>
      <c r="E843" t="s">
        <v>1574</v>
      </c>
      <c r="F843" t="s">
        <v>23</v>
      </c>
      <c r="G843" t="s">
        <v>53</v>
      </c>
      <c r="H843">
        <v>4.43</v>
      </c>
      <c r="I843">
        <v>57764</v>
      </c>
      <c r="J843" t="s">
        <v>19</v>
      </c>
      <c r="K843">
        <v>331.89</v>
      </c>
      <c r="L843">
        <v>0</v>
      </c>
      <c r="M843">
        <v>2.99</v>
      </c>
      <c r="N843">
        <v>1078</v>
      </c>
      <c r="O843" t="s">
        <v>27</v>
      </c>
      <c r="P843">
        <v>4360</v>
      </c>
    </row>
    <row r="844" spans="1:16" x14ac:dyDescent="0.35">
      <c r="A844">
        <v>823</v>
      </c>
      <c r="B844">
        <v>1886</v>
      </c>
      <c r="C844" t="str">
        <f>IF(book_sales[[#This Row],[Publishing Year]]&lt;1900,"Classic (Before 1900)",IF(book_sales[[#This Row],[Publishing Year]]&lt;2000,"20th Century (1900-1999)","21st Century (2000+)"))</f>
        <v>Classic (Before 1900)</v>
      </c>
      <c r="D844" t="s">
        <v>1433</v>
      </c>
      <c r="E844" t="s">
        <v>1434</v>
      </c>
      <c r="F844" t="s">
        <v>23</v>
      </c>
      <c r="G844" t="s">
        <v>24</v>
      </c>
      <c r="H844">
        <v>3.94</v>
      </c>
      <c r="I844">
        <v>80299</v>
      </c>
      <c r="J844" t="s">
        <v>19</v>
      </c>
      <c r="K844">
        <v>568.86</v>
      </c>
      <c r="L844">
        <v>341.31599999999997</v>
      </c>
      <c r="M844">
        <v>4.99</v>
      </c>
      <c r="N844">
        <v>963</v>
      </c>
      <c r="O844" t="s">
        <v>46</v>
      </c>
      <c r="P844">
        <v>2889</v>
      </c>
    </row>
    <row r="845" spans="1:16" x14ac:dyDescent="0.35">
      <c r="A845">
        <v>57</v>
      </c>
      <c r="B845">
        <v>1986</v>
      </c>
      <c r="C845" t="str">
        <f>IF(book_sales[[#This Row],[Publishing Year]]&lt;1900,"Classic (Before 1900)",IF(book_sales[[#This Row],[Publishing Year]]&lt;2000,"20th Century (1900-1999)","21st Century (2000+)"))</f>
        <v>20th Century (1900-1999)</v>
      </c>
      <c r="D845" t="s">
        <v>140</v>
      </c>
      <c r="E845" t="s">
        <v>141</v>
      </c>
      <c r="F845" t="s">
        <v>17</v>
      </c>
      <c r="G845" t="s">
        <v>24</v>
      </c>
      <c r="H845">
        <v>4.09</v>
      </c>
      <c r="I845">
        <v>142168</v>
      </c>
      <c r="J845" t="s">
        <v>19</v>
      </c>
      <c r="K845">
        <v>17783.3</v>
      </c>
      <c r="L845">
        <v>10669.98</v>
      </c>
      <c r="M845">
        <v>10.91</v>
      </c>
      <c r="N845">
        <v>59</v>
      </c>
      <c r="O845" t="s">
        <v>34</v>
      </c>
      <c r="P845">
        <v>1630</v>
      </c>
    </row>
    <row r="846" spans="1:16" x14ac:dyDescent="0.35">
      <c r="A846">
        <v>15</v>
      </c>
      <c r="B846">
        <v>1974</v>
      </c>
      <c r="C846" t="str">
        <f>IF(book_sales[[#This Row],[Publishing Year]]&lt;1900,"Classic (Before 1900)",IF(book_sales[[#This Row],[Publishing Year]]&lt;2000,"20th Century (1900-1999)","21st Century (2000+)"))</f>
        <v>20th Century (1900-1999)</v>
      </c>
      <c r="D846" t="s">
        <v>58</v>
      </c>
      <c r="E846" t="s">
        <v>59</v>
      </c>
      <c r="F846" t="s">
        <v>23</v>
      </c>
      <c r="G846" t="s">
        <v>24</v>
      </c>
      <c r="H846">
        <v>3.76</v>
      </c>
      <c r="I846">
        <v>139411</v>
      </c>
      <c r="J846" t="s">
        <v>19</v>
      </c>
      <c r="K846">
        <v>16297.34</v>
      </c>
      <c r="L846">
        <v>0</v>
      </c>
      <c r="M846">
        <v>4.99</v>
      </c>
      <c r="N846">
        <v>16</v>
      </c>
      <c r="O846" t="s">
        <v>27</v>
      </c>
      <c r="P846">
        <v>3266</v>
      </c>
    </row>
    <row r="847" spans="1:16" x14ac:dyDescent="0.35">
      <c r="A847">
        <v>916</v>
      </c>
      <c r="B847">
        <v>1941</v>
      </c>
      <c r="C847" t="str">
        <f>IF(book_sales[[#This Row],[Publishing Year]]&lt;1900,"Classic (Before 1900)",IF(book_sales[[#This Row],[Publishing Year]]&lt;2000,"20th Century (1900-1999)","21st Century (2000+)"))</f>
        <v>20th Century (1900-1999)</v>
      </c>
      <c r="D847" t="s">
        <v>1566</v>
      </c>
      <c r="E847" t="s">
        <v>1567</v>
      </c>
      <c r="G847" t="s">
        <v>532</v>
      </c>
      <c r="H847">
        <v>4.21</v>
      </c>
      <c r="I847">
        <v>70704</v>
      </c>
      <c r="J847" t="s">
        <v>41</v>
      </c>
      <c r="K847">
        <v>637.14</v>
      </c>
      <c r="L847">
        <v>382.28399999999999</v>
      </c>
      <c r="M847">
        <v>5.74</v>
      </c>
      <c r="N847">
        <v>1074</v>
      </c>
      <c r="O847" t="s">
        <v>20</v>
      </c>
      <c r="P847">
        <v>4360</v>
      </c>
    </row>
    <row r="848" spans="1:16" x14ac:dyDescent="0.35">
      <c r="A848">
        <v>77</v>
      </c>
      <c r="B848">
        <v>1986</v>
      </c>
      <c r="C848" t="str">
        <f>IF(book_sales[[#This Row],[Publishing Year]]&lt;1900,"Classic (Before 1900)",IF(book_sales[[#This Row],[Publishing Year]]&lt;2000,"20th Century (1900-1999)","21st Century (2000+)"))</f>
        <v>20th Century (1900-1999)</v>
      </c>
      <c r="D848" t="s">
        <v>180</v>
      </c>
      <c r="E848" t="s">
        <v>181</v>
      </c>
      <c r="F848" t="s">
        <v>92</v>
      </c>
      <c r="G848" t="s">
        <v>24</v>
      </c>
      <c r="H848">
        <v>4.34</v>
      </c>
      <c r="I848">
        <v>159703</v>
      </c>
      <c r="J848" t="s">
        <v>19</v>
      </c>
      <c r="K848">
        <v>1309.77</v>
      </c>
      <c r="L848">
        <v>785.86199999999997</v>
      </c>
      <c r="M848">
        <v>0.99</v>
      </c>
      <c r="N848">
        <v>79</v>
      </c>
      <c r="O848" t="s">
        <v>27</v>
      </c>
      <c r="P848">
        <v>1323</v>
      </c>
    </row>
    <row r="849" spans="1:16" x14ac:dyDescent="0.35">
      <c r="A849">
        <v>51</v>
      </c>
      <c r="B849">
        <v>1997</v>
      </c>
      <c r="C849" t="str">
        <f>IF(book_sales[[#This Row],[Publishing Year]]&lt;1900,"Classic (Before 1900)",IF(book_sales[[#This Row],[Publishing Year]]&lt;2000,"20th Century (1900-1999)","21st Century (2000+)"))</f>
        <v>20th Century (1900-1999)</v>
      </c>
      <c r="D849" t="s">
        <v>127</v>
      </c>
      <c r="E849" t="s">
        <v>128</v>
      </c>
      <c r="F849" t="s">
        <v>23</v>
      </c>
      <c r="G849" t="s">
        <v>24</v>
      </c>
      <c r="H849">
        <v>3.95</v>
      </c>
      <c r="I849">
        <v>153764</v>
      </c>
      <c r="J849" t="s">
        <v>19</v>
      </c>
      <c r="K849">
        <v>1705.77</v>
      </c>
      <c r="L849">
        <v>1023.462</v>
      </c>
      <c r="M849">
        <v>0.99</v>
      </c>
      <c r="N849">
        <v>53</v>
      </c>
      <c r="O849" t="s">
        <v>46</v>
      </c>
      <c r="P849">
        <v>1723</v>
      </c>
    </row>
    <row r="850" spans="1:16" x14ac:dyDescent="0.35">
      <c r="A850">
        <v>67</v>
      </c>
      <c r="B850">
        <v>1995</v>
      </c>
      <c r="C850" t="str">
        <f>IF(book_sales[[#This Row],[Publishing Year]]&lt;1900,"Classic (Before 1900)",IF(book_sales[[#This Row],[Publishing Year]]&lt;2000,"20th Century (1900-1999)","21st Century (2000+)"))</f>
        <v>20th Century (1900-1999)</v>
      </c>
      <c r="D850" t="s">
        <v>161</v>
      </c>
      <c r="E850" t="s">
        <v>162</v>
      </c>
      <c r="F850" t="s">
        <v>23</v>
      </c>
      <c r="G850" t="s">
        <v>24</v>
      </c>
      <c r="H850">
        <v>4.1399999999999997</v>
      </c>
      <c r="I850">
        <v>132777</v>
      </c>
      <c r="J850" t="s">
        <v>19</v>
      </c>
      <c r="K850">
        <v>2907.39</v>
      </c>
      <c r="L850">
        <v>0</v>
      </c>
      <c r="M850">
        <v>1.99</v>
      </c>
      <c r="N850">
        <v>70</v>
      </c>
      <c r="O850" t="s">
        <v>27</v>
      </c>
      <c r="P850">
        <v>1461</v>
      </c>
    </row>
    <row r="851" spans="1:16" x14ac:dyDescent="0.35">
      <c r="A851">
        <v>487</v>
      </c>
      <c r="B851">
        <v>1996</v>
      </c>
      <c r="C851" t="str">
        <f>IF(book_sales[[#This Row],[Publishing Year]]&lt;1900,"Classic (Before 1900)",IF(book_sales[[#This Row],[Publishing Year]]&lt;2000,"20th Century (1900-1999)","21st Century (2000+)"))</f>
        <v>20th Century (1900-1999)</v>
      </c>
      <c r="D851" t="s">
        <v>895</v>
      </c>
      <c r="E851" t="s">
        <v>162</v>
      </c>
      <c r="F851" t="s">
        <v>23</v>
      </c>
      <c r="G851" t="s">
        <v>532</v>
      </c>
      <c r="H851">
        <v>4.21</v>
      </c>
      <c r="I851">
        <v>82608</v>
      </c>
      <c r="J851" t="s">
        <v>30</v>
      </c>
      <c r="K851">
        <v>164.34</v>
      </c>
      <c r="L851">
        <v>0</v>
      </c>
      <c r="M851">
        <v>0.99</v>
      </c>
      <c r="N851">
        <v>538</v>
      </c>
      <c r="O851" t="s">
        <v>27</v>
      </c>
      <c r="P851">
        <v>4482</v>
      </c>
    </row>
    <row r="852" spans="1:16" x14ac:dyDescent="0.35">
      <c r="A852">
        <v>715</v>
      </c>
      <c r="B852">
        <v>1997</v>
      </c>
      <c r="C852" t="str">
        <f>IF(book_sales[[#This Row],[Publishing Year]]&lt;1900,"Classic (Before 1900)",IF(book_sales[[#This Row],[Publishing Year]]&lt;2000,"20th Century (1900-1999)","21st Century (2000+)"))</f>
        <v>20th Century (1900-1999)</v>
      </c>
      <c r="D852" t="s">
        <v>1264</v>
      </c>
      <c r="E852" t="s">
        <v>162</v>
      </c>
      <c r="F852" t="s">
        <v>23</v>
      </c>
      <c r="G852" t="s">
        <v>532</v>
      </c>
      <c r="H852">
        <v>4.18</v>
      </c>
      <c r="I852">
        <v>67125</v>
      </c>
      <c r="J852" t="s">
        <v>19</v>
      </c>
      <c r="K852">
        <v>470.82</v>
      </c>
      <c r="L852">
        <v>0</v>
      </c>
      <c r="M852">
        <v>3.99</v>
      </c>
      <c r="N852">
        <v>821</v>
      </c>
      <c r="O852" t="s">
        <v>27</v>
      </c>
      <c r="P852">
        <v>34776</v>
      </c>
    </row>
    <row r="853" spans="1:16" x14ac:dyDescent="0.35">
      <c r="A853">
        <v>658</v>
      </c>
      <c r="B853">
        <v>1996</v>
      </c>
      <c r="C853" t="str">
        <f>IF(book_sales[[#This Row],[Publishing Year]]&lt;1900,"Classic (Before 1900)",IF(book_sales[[#This Row],[Publishing Year]]&lt;2000,"20th Century (1900-1999)","21st Century (2000+)"))</f>
        <v>20th Century (1900-1999)</v>
      </c>
      <c r="D853" t="s">
        <v>1173</v>
      </c>
      <c r="E853" t="s">
        <v>1174</v>
      </c>
      <c r="F853" t="s">
        <v>23</v>
      </c>
      <c r="G853" t="s">
        <v>24</v>
      </c>
      <c r="H853">
        <v>3.77</v>
      </c>
      <c r="I853">
        <v>52031</v>
      </c>
      <c r="J853" t="s">
        <v>19</v>
      </c>
      <c r="K853">
        <v>117.81</v>
      </c>
      <c r="L853">
        <v>0</v>
      </c>
      <c r="M853">
        <v>0.99</v>
      </c>
      <c r="N853">
        <v>759</v>
      </c>
      <c r="O853" t="s">
        <v>27</v>
      </c>
      <c r="P853">
        <v>40824</v>
      </c>
    </row>
    <row r="854" spans="1:16" x14ac:dyDescent="0.35">
      <c r="A854">
        <v>319</v>
      </c>
      <c r="B854">
        <v>2012</v>
      </c>
      <c r="C854" t="str">
        <f>IF(book_sales[[#This Row],[Publishing Year]]&lt;1900,"Classic (Before 1900)",IF(book_sales[[#This Row],[Publishing Year]]&lt;2000,"20th Century (1900-1999)","21st Century (2000+)"))</f>
        <v>21st Century (2000+)</v>
      </c>
      <c r="D854" t="s">
        <v>604</v>
      </c>
      <c r="E854" t="s">
        <v>605</v>
      </c>
      <c r="F854" t="s">
        <v>23</v>
      </c>
      <c r="G854" t="s">
        <v>24</v>
      </c>
      <c r="H854">
        <v>3.75</v>
      </c>
      <c r="I854">
        <v>110552</v>
      </c>
      <c r="J854" t="s">
        <v>19</v>
      </c>
      <c r="K854">
        <v>1719.85</v>
      </c>
      <c r="L854">
        <v>1031.9100000000001</v>
      </c>
      <c r="M854">
        <v>6.49</v>
      </c>
      <c r="N854">
        <v>341</v>
      </c>
      <c r="O854" t="s">
        <v>31</v>
      </c>
      <c r="P854">
        <v>265</v>
      </c>
    </row>
    <row r="855" spans="1:16" x14ac:dyDescent="0.35">
      <c r="A855">
        <v>248</v>
      </c>
      <c r="B855">
        <v>1996</v>
      </c>
      <c r="C855" t="str">
        <f>IF(book_sales[[#This Row],[Publishing Year]]&lt;1900,"Classic (Before 1900)",IF(book_sales[[#This Row],[Publishing Year]]&lt;2000,"20th Century (1900-1999)","21st Century (2000+)"))</f>
        <v>20th Century (1900-1999)</v>
      </c>
      <c r="D855" t="s">
        <v>475</v>
      </c>
      <c r="E855" t="s">
        <v>476</v>
      </c>
      <c r="F855" t="s">
        <v>23</v>
      </c>
      <c r="G855" t="s">
        <v>24</v>
      </c>
      <c r="H855">
        <v>4.34</v>
      </c>
      <c r="I855">
        <v>99252</v>
      </c>
      <c r="J855" t="s">
        <v>19</v>
      </c>
      <c r="K855">
        <v>1136.2</v>
      </c>
      <c r="L855">
        <v>681.72</v>
      </c>
      <c r="M855">
        <v>2.99</v>
      </c>
      <c r="N855">
        <v>272</v>
      </c>
      <c r="O855" t="s">
        <v>66</v>
      </c>
      <c r="P855">
        <v>380</v>
      </c>
    </row>
    <row r="856" spans="1:16" x14ac:dyDescent="0.35">
      <c r="A856">
        <v>709</v>
      </c>
      <c r="B856">
        <v>1891</v>
      </c>
      <c r="C856" t="str">
        <f>IF(book_sales[[#This Row],[Publishing Year]]&lt;1900,"Classic (Before 1900)",IF(book_sales[[#This Row],[Publishing Year]]&lt;2000,"20th Century (1900-1999)","21st Century (2000+)"))</f>
        <v>Classic (Before 1900)</v>
      </c>
      <c r="D856" t="s">
        <v>1254</v>
      </c>
      <c r="E856" t="s">
        <v>1255</v>
      </c>
      <c r="G856" t="s">
        <v>532</v>
      </c>
      <c r="H856">
        <v>4.22</v>
      </c>
      <c r="I856">
        <v>65422</v>
      </c>
      <c r="J856" t="s">
        <v>41</v>
      </c>
      <c r="K856">
        <v>352.82</v>
      </c>
      <c r="L856">
        <v>211.69200000000001</v>
      </c>
      <c r="M856">
        <v>2.99</v>
      </c>
      <c r="N856">
        <v>814</v>
      </c>
      <c r="O856" t="s">
        <v>27</v>
      </c>
      <c r="P856">
        <v>35208</v>
      </c>
    </row>
    <row r="857" spans="1:16" x14ac:dyDescent="0.35">
      <c r="A857">
        <v>706</v>
      </c>
      <c r="B857">
        <v>1987</v>
      </c>
      <c r="C857" t="str">
        <f>IF(book_sales[[#This Row],[Publishing Year]]&lt;1900,"Classic (Before 1900)",IF(book_sales[[#This Row],[Publishing Year]]&lt;2000,"20th Century (1900-1999)","21st Century (2000+)"))</f>
        <v>20th Century (1900-1999)</v>
      </c>
      <c r="D857" t="s">
        <v>1249</v>
      </c>
      <c r="E857" t="s">
        <v>1250</v>
      </c>
      <c r="F857" t="s">
        <v>23</v>
      </c>
      <c r="G857" t="s">
        <v>532</v>
      </c>
      <c r="H857">
        <v>4.13</v>
      </c>
      <c r="I857">
        <v>73573</v>
      </c>
      <c r="J857" t="s">
        <v>19</v>
      </c>
      <c r="K857">
        <v>588.82000000000005</v>
      </c>
      <c r="L857">
        <v>0</v>
      </c>
      <c r="M857">
        <v>4.99</v>
      </c>
      <c r="N857">
        <v>811</v>
      </c>
      <c r="O857" t="s">
        <v>27</v>
      </c>
      <c r="P857">
        <v>35424</v>
      </c>
    </row>
    <row r="858" spans="1:16" x14ac:dyDescent="0.35">
      <c r="A858">
        <v>796</v>
      </c>
      <c r="B858">
        <v>1894</v>
      </c>
      <c r="C858" t="str">
        <f>IF(book_sales[[#This Row],[Publishing Year]]&lt;1900,"Classic (Before 1900)",IF(book_sales[[#This Row],[Publishing Year]]&lt;2000,"20th Century (1900-1999)","21st Century (2000+)"))</f>
        <v>Classic (Before 1900)</v>
      </c>
      <c r="D858" t="s">
        <v>1396</v>
      </c>
      <c r="E858" t="s">
        <v>1397</v>
      </c>
      <c r="F858" t="s">
        <v>23</v>
      </c>
      <c r="G858" t="s">
        <v>24</v>
      </c>
      <c r="H858">
        <v>3.94</v>
      </c>
      <c r="I858">
        <v>67107</v>
      </c>
      <c r="J858" t="s">
        <v>30</v>
      </c>
      <c r="K858">
        <v>113.85</v>
      </c>
      <c r="L858">
        <v>68.31</v>
      </c>
      <c r="M858">
        <v>0.99</v>
      </c>
      <c r="N858">
        <v>922</v>
      </c>
      <c r="O858" t="s">
        <v>27</v>
      </c>
      <c r="P858">
        <v>2916</v>
      </c>
    </row>
    <row r="859" spans="1:16" x14ac:dyDescent="0.35">
      <c r="A859">
        <v>661</v>
      </c>
      <c r="B859">
        <v>2011</v>
      </c>
      <c r="C859" t="str">
        <f>IF(book_sales[[#This Row],[Publishing Year]]&lt;1900,"Classic (Before 1900)",IF(book_sales[[#This Row],[Publishing Year]]&lt;2000,"20th Century (1900-1999)","21st Century (2000+)"))</f>
        <v>21st Century (2000+)</v>
      </c>
      <c r="D859" t="s">
        <v>1179</v>
      </c>
      <c r="E859" t="s">
        <v>1180</v>
      </c>
      <c r="F859" t="s">
        <v>23</v>
      </c>
      <c r="G859" t="s">
        <v>532</v>
      </c>
      <c r="H859">
        <v>4.3600000000000003</v>
      </c>
      <c r="I859">
        <v>87718</v>
      </c>
      <c r="J859" t="s">
        <v>19</v>
      </c>
      <c r="K859">
        <v>236.81</v>
      </c>
      <c r="L859">
        <v>142.08600000000001</v>
      </c>
      <c r="M859">
        <v>1.99</v>
      </c>
      <c r="N859">
        <v>761</v>
      </c>
      <c r="O859" t="s">
        <v>27</v>
      </c>
      <c r="P859">
        <v>40176</v>
      </c>
    </row>
    <row r="860" spans="1:16" x14ac:dyDescent="0.35">
      <c r="A860">
        <v>902</v>
      </c>
      <c r="B860">
        <v>2016</v>
      </c>
      <c r="C860" t="str">
        <f>IF(book_sales[[#This Row],[Publishing Year]]&lt;1900,"Classic (Before 1900)",IF(book_sales[[#This Row],[Publishing Year]]&lt;2000,"20th Century (1900-1999)","21st Century (2000+)"))</f>
        <v>21st Century (2000+)</v>
      </c>
      <c r="D860" t="s">
        <v>1543</v>
      </c>
      <c r="E860" t="s">
        <v>1544</v>
      </c>
      <c r="F860" t="s">
        <v>23</v>
      </c>
      <c r="G860" t="s">
        <v>24</v>
      </c>
      <c r="H860">
        <v>3.67</v>
      </c>
      <c r="I860">
        <v>90541</v>
      </c>
      <c r="J860" t="s">
        <v>41</v>
      </c>
      <c r="K860">
        <v>109.89</v>
      </c>
      <c r="L860">
        <v>65.933999999999997</v>
      </c>
      <c r="M860">
        <v>0.99</v>
      </c>
      <c r="N860">
        <v>1058</v>
      </c>
      <c r="O860" t="s">
        <v>27</v>
      </c>
      <c r="P860">
        <v>4400</v>
      </c>
    </row>
    <row r="861" spans="1:16" x14ac:dyDescent="0.35">
      <c r="A861">
        <v>977</v>
      </c>
      <c r="B861">
        <v>2015</v>
      </c>
      <c r="C861" t="str">
        <f>IF(book_sales[[#This Row],[Publishing Year]]&lt;1900,"Classic (Before 1900)",IF(book_sales[[#This Row],[Publishing Year]]&lt;2000,"20th Century (1900-1999)","21st Century (2000+)"))</f>
        <v>21st Century (2000+)</v>
      </c>
      <c r="D861" t="s">
        <v>1661</v>
      </c>
      <c r="E861" t="s">
        <v>1544</v>
      </c>
      <c r="F861" t="s">
        <v>23</v>
      </c>
      <c r="G861" t="s">
        <v>24</v>
      </c>
      <c r="H861">
        <v>3.65</v>
      </c>
      <c r="I861">
        <v>67344</v>
      </c>
      <c r="J861" t="s">
        <v>19</v>
      </c>
      <c r="K861">
        <v>107.91</v>
      </c>
      <c r="L861">
        <v>0</v>
      </c>
      <c r="M861">
        <v>0.99</v>
      </c>
      <c r="N861">
        <v>1153</v>
      </c>
      <c r="O861" t="s">
        <v>27</v>
      </c>
      <c r="P861">
        <v>4240</v>
      </c>
    </row>
    <row r="862" spans="1:16" x14ac:dyDescent="0.35">
      <c r="A862">
        <v>434</v>
      </c>
      <c r="B862">
        <v>2009</v>
      </c>
      <c r="C862" t="str">
        <f>IF(book_sales[[#This Row],[Publishing Year]]&lt;1900,"Classic (Before 1900)",IF(book_sales[[#This Row],[Publishing Year]]&lt;2000,"20th Century (1900-1999)","21st Century (2000+)"))</f>
        <v>21st Century (2000+)</v>
      </c>
      <c r="D862" t="s">
        <v>807</v>
      </c>
      <c r="E862" t="s">
        <v>808</v>
      </c>
      <c r="F862" t="s">
        <v>23</v>
      </c>
      <c r="G862" t="s">
        <v>532</v>
      </c>
      <c r="H862">
        <v>4.12</v>
      </c>
      <c r="I862">
        <v>90483</v>
      </c>
      <c r="J862" t="s">
        <v>19</v>
      </c>
      <c r="K862">
        <v>1114.1400000000001</v>
      </c>
      <c r="L862">
        <v>668.48400000000004</v>
      </c>
      <c r="M862">
        <v>5.99</v>
      </c>
      <c r="N862">
        <v>478</v>
      </c>
      <c r="O862" t="s">
        <v>34</v>
      </c>
      <c r="P862">
        <v>5022</v>
      </c>
    </row>
    <row r="863" spans="1:16" x14ac:dyDescent="0.35">
      <c r="A863">
        <v>505</v>
      </c>
      <c r="B863">
        <v>2011</v>
      </c>
      <c r="C863" t="str">
        <f>IF(book_sales[[#This Row],[Publishing Year]]&lt;1900,"Classic (Before 1900)",IF(book_sales[[#This Row],[Publishing Year]]&lt;2000,"20th Century (1900-1999)","21st Century (2000+)"))</f>
        <v>21st Century (2000+)</v>
      </c>
      <c r="D863" t="s">
        <v>922</v>
      </c>
      <c r="E863" t="s">
        <v>808</v>
      </c>
      <c r="F863" t="s">
        <v>23</v>
      </c>
      <c r="G863" t="s">
        <v>532</v>
      </c>
      <c r="H863">
        <v>4.37</v>
      </c>
      <c r="I863">
        <v>83085</v>
      </c>
      <c r="J863" t="s">
        <v>19</v>
      </c>
      <c r="K863">
        <v>160.38</v>
      </c>
      <c r="L863">
        <v>96.227999999999994</v>
      </c>
      <c r="M863">
        <v>0.99</v>
      </c>
      <c r="N863">
        <v>558</v>
      </c>
      <c r="O863" t="s">
        <v>27</v>
      </c>
      <c r="P863">
        <v>4374</v>
      </c>
    </row>
    <row r="864" spans="1:16" x14ac:dyDescent="0.35">
      <c r="A864">
        <v>941</v>
      </c>
      <c r="B864">
        <v>2015</v>
      </c>
      <c r="C864" t="str">
        <f>IF(book_sales[[#This Row],[Publishing Year]]&lt;1900,"Classic (Before 1900)",IF(book_sales[[#This Row],[Publishing Year]]&lt;2000,"20th Century (1900-1999)","21st Century (2000+)"))</f>
        <v>21st Century (2000+)</v>
      </c>
      <c r="D864" t="s">
        <v>1607</v>
      </c>
      <c r="E864" t="s">
        <v>1608</v>
      </c>
      <c r="F864" t="s">
        <v>23</v>
      </c>
      <c r="G864" t="s">
        <v>532</v>
      </c>
      <c r="H864">
        <v>4.32</v>
      </c>
      <c r="I864">
        <v>45492</v>
      </c>
      <c r="J864" t="s">
        <v>19</v>
      </c>
      <c r="K864">
        <v>603.9</v>
      </c>
      <c r="L864">
        <v>362.34</v>
      </c>
      <c r="M864">
        <v>5.49</v>
      </c>
      <c r="N864">
        <v>1106</v>
      </c>
      <c r="O864" t="s">
        <v>20</v>
      </c>
      <c r="P864">
        <v>4320</v>
      </c>
    </row>
    <row r="865" spans="1:16" x14ac:dyDescent="0.35">
      <c r="A865">
        <v>524</v>
      </c>
      <c r="B865">
        <v>1981</v>
      </c>
      <c r="C865" t="str">
        <f>IF(book_sales[[#This Row],[Publishing Year]]&lt;1900,"Classic (Before 1900)",IF(book_sales[[#This Row],[Publishing Year]]&lt;2000,"20th Century (1900-1999)","21st Century (2000+)"))</f>
        <v>20th Century (1900-1999)</v>
      </c>
      <c r="D865" t="s">
        <v>953</v>
      </c>
      <c r="E865" t="s">
        <v>954</v>
      </c>
      <c r="F865" t="s">
        <v>23</v>
      </c>
      <c r="G865" t="s">
        <v>24</v>
      </c>
      <c r="H865">
        <v>3.99</v>
      </c>
      <c r="I865">
        <v>75502</v>
      </c>
      <c r="J865" t="s">
        <v>41</v>
      </c>
      <c r="K865">
        <v>1474.23</v>
      </c>
      <c r="L865">
        <v>884.53800000000001</v>
      </c>
      <c r="M865">
        <v>9.39</v>
      </c>
      <c r="N865">
        <v>581</v>
      </c>
      <c r="O865" t="s">
        <v>27</v>
      </c>
      <c r="P865">
        <v>4239</v>
      </c>
    </row>
    <row r="866" spans="1:16" x14ac:dyDescent="0.35">
      <c r="A866">
        <v>332</v>
      </c>
      <c r="B866">
        <v>1988</v>
      </c>
      <c r="C866" t="str">
        <f>IF(book_sales[[#This Row],[Publishing Year]]&lt;1900,"Classic (Before 1900)",IF(book_sales[[#This Row],[Publishing Year]]&lt;2000,"20th Century (1900-1999)","21st Century (2000+)"))</f>
        <v>20th Century (1900-1999)</v>
      </c>
      <c r="D866" t="s">
        <v>629</v>
      </c>
      <c r="E866" t="s">
        <v>630</v>
      </c>
      <c r="F866" t="s">
        <v>17</v>
      </c>
      <c r="G866" t="s">
        <v>532</v>
      </c>
      <c r="H866">
        <v>4.3600000000000003</v>
      </c>
      <c r="I866">
        <v>104690</v>
      </c>
      <c r="J866" t="s">
        <v>19</v>
      </c>
      <c r="K866">
        <v>738.53</v>
      </c>
      <c r="L866">
        <v>0</v>
      </c>
      <c r="M866">
        <v>2.99</v>
      </c>
      <c r="N866">
        <v>355</v>
      </c>
      <c r="O866" t="s">
        <v>27</v>
      </c>
      <c r="P866">
        <v>247</v>
      </c>
    </row>
    <row r="867" spans="1:16" x14ac:dyDescent="0.35">
      <c r="A867">
        <v>265</v>
      </c>
      <c r="B867">
        <v>2012</v>
      </c>
      <c r="C867" t="str">
        <f>IF(book_sales[[#This Row],[Publishing Year]]&lt;1900,"Classic (Before 1900)",IF(book_sales[[#This Row],[Publishing Year]]&lt;2000,"20th Century (1900-1999)","21st Century (2000+)"))</f>
        <v>21st Century (2000+)</v>
      </c>
      <c r="D867" t="s">
        <v>504</v>
      </c>
      <c r="E867" t="s">
        <v>505</v>
      </c>
      <c r="F867" t="s">
        <v>23</v>
      </c>
      <c r="G867" t="s">
        <v>24</v>
      </c>
      <c r="H867">
        <v>4.24</v>
      </c>
      <c r="I867">
        <v>136761</v>
      </c>
      <c r="J867" t="s">
        <v>41</v>
      </c>
      <c r="K867">
        <v>3905.78</v>
      </c>
      <c r="L867">
        <v>2343.4679999999998</v>
      </c>
      <c r="M867">
        <v>10.91</v>
      </c>
      <c r="N867">
        <v>285</v>
      </c>
      <c r="O867" t="s">
        <v>46</v>
      </c>
      <c r="P867">
        <v>358</v>
      </c>
    </row>
    <row r="868" spans="1:16" x14ac:dyDescent="0.35">
      <c r="A868">
        <v>403</v>
      </c>
      <c r="B868">
        <v>1952</v>
      </c>
      <c r="C868" t="str">
        <f>IF(book_sales[[#This Row],[Publishing Year]]&lt;1900,"Classic (Before 1900)",IF(book_sales[[#This Row],[Publishing Year]]&lt;2000,"20th Century (1900-1999)","21st Century (2000+)"))</f>
        <v>20th Century (1900-1999)</v>
      </c>
      <c r="D868" t="s">
        <v>757</v>
      </c>
      <c r="E868" t="s">
        <v>758</v>
      </c>
      <c r="F868" t="s">
        <v>23</v>
      </c>
      <c r="G868" t="s">
        <v>24</v>
      </c>
      <c r="H868">
        <v>3.81</v>
      </c>
      <c r="I868">
        <v>98950</v>
      </c>
      <c r="J868" t="s">
        <v>19</v>
      </c>
      <c r="K868">
        <v>1621.97</v>
      </c>
      <c r="L868">
        <v>973.18200000000002</v>
      </c>
      <c r="M868">
        <v>7.99</v>
      </c>
      <c r="N868">
        <v>444</v>
      </c>
      <c r="O868" t="s">
        <v>34</v>
      </c>
      <c r="P868">
        <v>5481</v>
      </c>
    </row>
    <row r="869" spans="1:16" x14ac:dyDescent="0.35">
      <c r="A869">
        <v>724</v>
      </c>
      <c r="B869">
        <v>1984</v>
      </c>
      <c r="C869" t="str">
        <f>IF(book_sales[[#This Row],[Publishing Year]]&lt;1900,"Classic (Before 1900)",IF(book_sales[[#This Row],[Publishing Year]]&lt;2000,"20th Century (1900-1999)","21st Century (2000+)"))</f>
        <v>20th Century (1900-1999)</v>
      </c>
      <c r="D869" t="s">
        <v>1278</v>
      </c>
      <c r="E869" t="s">
        <v>1279</v>
      </c>
      <c r="F869" t="s">
        <v>23</v>
      </c>
      <c r="G869" t="s">
        <v>24</v>
      </c>
      <c r="H869">
        <v>3.57</v>
      </c>
      <c r="I869">
        <v>81579</v>
      </c>
      <c r="J869" t="s">
        <v>19</v>
      </c>
      <c r="K869">
        <v>115.83</v>
      </c>
      <c r="L869">
        <v>0</v>
      </c>
      <c r="M869">
        <v>0.99</v>
      </c>
      <c r="N869">
        <v>832</v>
      </c>
      <c r="O869" t="s">
        <v>27</v>
      </c>
      <c r="P869">
        <v>34128</v>
      </c>
    </row>
    <row r="870" spans="1:16" x14ac:dyDescent="0.35">
      <c r="A870">
        <v>17</v>
      </c>
      <c r="B870">
        <v>2006</v>
      </c>
      <c r="C870" t="str">
        <f>IF(book_sales[[#This Row],[Publishing Year]]&lt;1900,"Classic (Before 1900)",IF(book_sales[[#This Row],[Publishing Year]]&lt;2000,"20th Century (1900-1999)","21st Century (2000+)"))</f>
        <v>21st Century (2000+)</v>
      </c>
      <c r="D870" t="s">
        <v>62</v>
      </c>
      <c r="E870" t="s">
        <v>63</v>
      </c>
      <c r="F870" t="s">
        <v>17</v>
      </c>
      <c r="G870" t="s">
        <v>24</v>
      </c>
      <c r="H870">
        <v>3.9</v>
      </c>
      <c r="I870">
        <v>156328</v>
      </c>
      <c r="J870" t="s">
        <v>19</v>
      </c>
      <c r="K870">
        <v>15968</v>
      </c>
      <c r="L870">
        <v>0</v>
      </c>
      <c r="M870">
        <v>4.99</v>
      </c>
      <c r="N870">
        <v>17</v>
      </c>
      <c r="O870" t="s">
        <v>27</v>
      </c>
      <c r="P870">
        <v>3200</v>
      </c>
    </row>
    <row r="871" spans="1:16" x14ac:dyDescent="0.35">
      <c r="A871">
        <v>10</v>
      </c>
      <c r="B871">
        <v>2004</v>
      </c>
      <c r="C871" t="str">
        <f>IF(book_sales[[#This Row],[Publishing Year]]&lt;1900,"Classic (Before 1900)",IF(book_sales[[#This Row],[Publishing Year]]&lt;2000,"20th Century (1900-1999)","21st Century (2000+)"))</f>
        <v>21st Century (2000+)</v>
      </c>
      <c r="D871" t="s">
        <v>47</v>
      </c>
      <c r="E871" t="s">
        <v>48</v>
      </c>
      <c r="F871" t="s">
        <v>17</v>
      </c>
      <c r="G871" t="s">
        <v>24</v>
      </c>
      <c r="H871">
        <v>4.13</v>
      </c>
      <c r="I871">
        <v>179415</v>
      </c>
      <c r="J871" t="s">
        <v>19</v>
      </c>
      <c r="K871">
        <v>17964</v>
      </c>
      <c r="L871">
        <v>0</v>
      </c>
      <c r="M871">
        <v>4.99</v>
      </c>
      <c r="N871">
        <v>11</v>
      </c>
      <c r="O871" t="s">
        <v>27</v>
      </c>
      <c r="P871">
        <v>3600</v>
      </c>
    </row>
    <row r="872" spans="1:16" x14ac:dyDescent="0.35">
      <c r="A872">
        <v>84</v>
      </c>
      <c r="B872">
        <v>2002</v>
      </c>
      <c r="C872" t="str">
        <f>IF(book_sales[[#This Row],[Publishing Year]]&lt;1900,"Classic (Before 1900)",IF(book_sales[[#This Row],[Publishing Year]]&lt;2000,"20th Century (1900-1999)","21st Century (2000+)"))</f>
        <v>21st Century (2000+)</v>
      </c>
      <c r="D872" t="s">
        <v>192</v>
      </c>
      <c r="E872" t="s">
        <v>48</v>
      </c>
      <c r="F872" t="s">
        <v>23</v>
      </c>
      <c r="G872" t="s">
        <v>24</v>
      </c>
      <c r="H872">
        <v>4.03</v>
      </c>
      <c r="I872">
        <v>151829</v>
      </c>
      <c r="J872" t="s">
        <v>19</v>
      </c>
      <c r="K872">
        <v>2417.85</v>
      </c>
      <c r="L872">
        <v>1450.71</v>
      </c>
      <c r="M872">
        <v>1.99</v>
      </c>
      <c r="N872">
        <v>86</v>
      </c>
      <c r="O872" t="s">
        <v>20</v>
      </c>
      <c r="P872">
        <v>1215</v>
      </c>
    </row>
    <row r="873" spans="1:16" x14ac:dyDescent="0.35">
      <c r="A873">
        <v>136</v>
      </c>
      <c r="B873">
        <v>2009</v>
      </c>
      <c r="C873" t="str">
        <f>IF(book_sales[[#This Row],[Publishing Year]]&lt;1900,"Classic (Before 1900)",IF(book_sales[[#This Row],[Publishing Year]]&lt;2000,"20th Century (1900-1999)","21st Century (2000+)"))</f>
        <v>21st Century (2000+)</v>
      </c>
      <c r="D873" t="s">
        <v>284</v>
      </c>
      <c r="E873" t="s">
        <v>48</v>
      </c>
      <c r="F873" t="s">
        <v>23</v>
      </c>
      <c r="G873" t="s">
        <v>24</v>
      </c>
      <c r="H873">
        <v>4.08</v>
      </c>
      <c r="I873">
        <v>151721</v>
      </c>
      <c r="J873" t="s">
        <v>19</v>
      </c>
      <c r="K873">
        <v>9412.15</v>
      </c>
      <c r="L873">
        <v>5647.29</v>
      </c>
      <c r="M873">
        <v>11.99</v>
      </c>
      <c r="N873">
        <v>143</v>
      </c>
      <c r="O873" t="s">
        <v>34</v>
      </c>
      <c r="P873">
        <v>785</v>
      </c>
    </row>
    <row r="874" spans="1:16" x14ac:dyDescent="0.35">
      <c r="A874">
        <v>300</v>
      </c>
      <c r="B874">
        <v>2008</v>
      </c>
      <c r="C874" t="str">
        <f>IF(book_sales[[#This Row],[Publishing Year]]&lt;1900,"Classic (Before 1900)",IF(book_sales[[#This Row],[Publishing Year]]&lt;2000,"20th Century (1900-1999)","21st Century (2000+)"))</f>
        <v>21st Century (2000+)</v>
      </c>
      <c r="D874" t="s">
        <v>571</v>
      </c>
      <c r="E874" t="s">
        <v>48</v>
      </c>
      <c r="F874" t="s">
        <v>23</v>
      </c>
      <c r="G874" t="s">
        <v>532</v>
      </c>
      <c r="H874">
        <v>4.01</v>
      </c>
      <c r="I874">
        <v>120475</v>
      </c>
      <c r="J874" t="s">
        <v>41</v>
      </c>
      <c r="K874">
        <v>885.04</v>
      </c>
      <c r="L874">
        <v>531.024</v>
      </c>
      <c r="M874">
        <v>2.99</v>
      </c>
      <c r="N874">
        <v>322</v>
      </c>
      <c r="O874" t="s">
        <v>27</v>
      </c>
      <c r="P874">
        <v>296</v>
      </c>
    </row>
    <row r="875" spans="1:16" x14ac:dyDescent="0.35">
      <c r="A875">
        <v>684</v>
      </c>
      <c r="B875">
        <v>1998</v>
      </c>
      <c r="C875" t="str">
        <f>IF(book_sales[[#This Row],[Publishing Year]]&lt;1900,"Classic (Before 1900)",IF(book_sales[[#This Row],[Publishing Year]]&lt;2000,"20th Century (1900-1999)","21st Century (2000+)"))</f>
        <v>20th Century (1900-1999)</v>
      </c>
      <c r="D875" t="s">
        <v>1218</v>
      </c>
      <c r="E875" t="s">
        <v>48</v>
      </c>
      <c r="F875" t="s">
        <v>23</v>
      </c>
      <c r="G875" t="s">
        <v>24</v>
      </c>
      <c r="H875">
        <v>3.94</v>
      </c>
      <c r="I875">
        <v>84358</v>
      </c>
      <c r="J875" t="s">
        <v>41</v>
      </c>
      <c r="K875">
        <v>355.81</v>
      </c>
      <c r="L875">
        <v>213.48599999999999</v>
      </c>
      <c r="M875">
        <v>2.99</v>
      </c>
      <c r="N875">
        <v>786</v>
      </c>
      <c r="O875" t="s">
        <v>66</v>
      </c>
      <c r="P875">
        <v>36936</v>
      </c>
    </row>
    <row r="876" spans="1:16" x14ac:dyDescent="0.35">
      <c r="A876">
        <v>640</v>
      </c>
      <c r="B876">
        <v>2003</v>
      </c>
      <c r="C876" t="str">
        <f>IF(book_sales[[#This Row],[Publishing Year]]&lt;1900,"Classic (Before 1900)",IF(book_sales[[#This Row],[Publishing Year]]&lt;2000,"20th Century (1900-1999)","21st Century (2000+)"))</f>
        <v>21st Century (2000+)</v>
      </c>
      <c r="D876" t="s">
        <v>1142</v>
      </c>
      <c r="E876" t="s">
        <v>1143</v>
      </c>
      <c r="F876" t="s">
        <v>17</v>
      </c>
      <c r="G876" t="s">
        <v>24</v>
      </c>
      <c r="H876">
        <v>3.79</v>
      </c>
      <c r="I876">
        <v>78129</v>
      </c>
      <c r="J876" t="s">
        <v>19</v>
      </c>
      <c r="K876">
        <v>370.76</v>
      </c>
      <c r="L876">
        <v>0</v>
      </c>
      <c r="M876">
        <v>2.99</v>
      </c>
      <c r="N876">
        <v>730</v>
      </c>
      <c r="O876" t="s">
        <v>27</v>
      </c>
      <c r="P876">
        <v>45576</v>
      </c>
    </row>
    <row r="877" spans="1:16" x14ac:dyDescent="0.35">
      <c r="A877">
        <v>221</v>
      </c>
      <c r="B877">
        <v>2013</v>
      </c>
      <c r="C877" t="str">
        <f>IF(book_sales[[#This Row],[Publishing Year]]&lt;1900,"Classic (Before 1900)",IF(book_sales[[#This Row],[Publishing Year]]&lt;2000,"20th Century (1900-1999)","21st Century (2000+)"))</f>
        <v>21st Century (2000+)</v>
      </c>
      <c r="D877" t="s">
        <v>428</v>
      </c>
      <c r="E877" t="s">
        <v>429</v>
      </c>
      <c r="F877" t="s">
        <v>144</v>
      </c>
      <c r="G877" t="s">
        <v>53</v>
      </c>
      <c r="H877">
        <v>4.49</v>
      </c>
      <c r="I877">
        <v>160485</v>
      </c>
      <c r="J877" t="s">
        <v>19</v>
      </c>
      <c r="K877">
        <v>426.69</v>
      </c>
      <c r="L877">
        <v>256.01400000000001</v>
      </c>
      <c r="M877">
        <v>0.99</v>
      </c>
      <c r="N877">
        <v>241</v>
      </c>
      <c r="O877" t="s">
        <v>27</v>
      </c>
      <c r="P877">
        <v>431</v>
      </c>
    </row>
    <row r="878" spans="1:16" x14ac:dyDescent="0.35">
      <c r="A878">
        <v>311</v>
      </c>
      <c r="B878">
        <v>2015</v>
      </c>
      <c r="C878" t="str">
        <f>IF(book_sales[[#This Row],[Publishing Year]]&lt;1900,"Classic (Before 1900)",IF(book_sales[[#This Row],[Publishing Year]]&lt;2000,"20th Century (1900-1999)","21st Century (2000+)"))</f>
        <v>21st Century (2000+)</v>
      </c>
      <c r="D878" t="s">
        <v>590</v>
      </c>
      <c r="E878" t="s">
        <v>429</v>
      </c>
      <c r="F878" t="s">
        <v>23</v>
      </c>
      <c r="G878" t="s">
        <v>532</v>
      </c>
      <c r="H878">
        <v>4.29</v>
      </c>
      <c r="I878">
        <v>167848</v>
      </c>
      <c r="J878" t="s">
        <v>41</v>
      </c>
      <c r="K878">
        <v>3650.19</v>
      </c>
      <c r="L878">
        <v>2190.114</v>
      </c>
      <c r="M878">
        <v>12.99</v>
      </c>
      <c r="N878">
        <v>331</v>
      </c>
      <c r="O878" t="s">
        <v>27</v>
      </c>
      <c r="P878">
        <v>281</v>
      </c>
    </row>
    <row r="879" spans="1:16" x14ac:dyDescent="0.35">
      <c r="A879">
        <v>491</v>
      </c>
      <c r="B879">
        <v>2014</v>
      </c>
      <c r="C879" t="str">
        <f>IF(book_sales[[#This Row],[Publishing Year]]&lt;1900,"Classic (Before 1900)",IF(book_sales[[#This Row],[Publishing Year]]&lt;2000,"20th Century (1900-1999)","21st Century (2000+)"))</f>
        <v>21st Century (2000+)</v>
      </c>
      <c r="D879" t="s">
        <v>901</v>
      </c>
      <c r="E879" t="s">
        <v>429</v>
      </c>
      <c r="F879" t="s">
        <v>23</v>
      </c>
      <c r="G879" t="s">
        <v>53</v>
      </c>
      <c r="H879">
        <v>4.53</v>
      </c>
      <c r="I879">
        <v>123843</v>
      </c>
      <c r="J879" t="s">
        <v>19</v>
      </c>
      <c r="K879">
        <v>163.35</v>
      </c>
      <c r="L879">
        <v>98.01</v>
      </c>
      <c r="M879">
        <v>0.99</v>
      </c>
      <c r="N879">
        <v>543</v>
      </c>
      <c r="O879" t="s">
        <v>31</v>
      </c>
      <c r="P879">
        <v>4455</v>
      </c>
    </row>
    <row r="880" spans="1:16" x14ac:dyDescent="0.35">
      <c r="A880">
        <v>733</v>
      </c>
      <c r="B880">
        <v>2015</v>
      </c>
      <c r="C880" t="str">
        <f>IF(book_sales[[#This Row],[Publishing Year]]&lt;1900,"Classic (Before 1900)",IF(book_sales[[#This Row],[Publishing Year]]&lt;2000,"20th Century (1900-1999)","21st Century (2000+)"))</f>
        <v>21st Century (2000+)</v>
      </c>
      <c r="D880" t="s">
        <v>1293</v>
      </c>
      <c r="E880" t="s">
        <v>429</v>
      </c>
      <c r="F880" t="s">
        <v>23</v>
      </c>
      <c r="G880" t="s">
        <v>53</v>
      </c>
      <c r="H880">
        <v>4.5999999999999996</v>
      </c>
      <c r="I880">
        <v>99067</v>
      </c>
      <c r="J880" t="s">
        <v>19</v>
      </c>
      <c r="K880">
        <v>349.83</v>
      </c>
      <c r="L880">
        <v>209.898</v>
      </c>
      <c r="M880">
        <v>2.99</v>
      </c>
      <c r="N880">
        <v>841</v>
      </c>
      <c r="O880" t="s">
        <v>133</v>
      </c>
      <c r="P880">
        <v>33048</v>
      </c>
    </row>
    <row r="881" spans="1:16" x14ac:dyDescent="0.35">
      <c r="A881">
        <v>777</v>
      </c>
      <c r="B881">
        <v>2016</v>
      </c>
      <c r="C881" t="str">
        <f>IF(book_sales[[#This Row],[Publishing Year]]&lt;1900,"Classic (Before 1900)",IF(book_sales[[#This Row],[Publishing Year]]&lt;2000,"20th Century (1900-1999)","21st Century (2000+)"))</f>
        <v>21st Century (2000+)</v>
      </c>
      <c r="D881" t="s">
        <v>1363</v>
      </c>
      <c r="E881" t="s">
        <v>429</v>
      </c>
      <c r="F881" t="s">
        <v>23</v>
      </c>
      <c r="G881" t="s">
        <v>53</v>
      </c>
      <c r="H881">
        <v>4.72</v>
      </c>
      <c r="I881">
        <v>108384</v>
      </c>
      <c r="J881" t="s">
        <v>19</v>
      </c>
      <c r="K881">
        <v>1158.8399999999999</v>
      </c>
      <c r="L881">
        <v>695.30399999999997</v>
      </c>
      <c r="M881">
        <v>9.99</v>
      </c>
      <c r="N881">
        <v>900</v>
      </c>
      <c r="O881" t="s">
        <v>66</v>
      </c>
      <c r="P881">
        <v>28512</v>
      </c>
    </row>
    <row r="882" spans="1:16" x14ac:dyDescent="0.35">
      <c r="A882">
        <v>215</v>
      </c>
      <c r="B882">
        <v>2006</v>
      </c>
      <c r="C882" t="str">
        <f>IF(book_sales[[#This Row],[Publishing Year]]&lt;1900,"Classic (Before 1900)",IF(book_sales[[#This Row],[Publishing Year]]&lt;2000,"20th Century (1900-1999)","21st Century (2000+)"))</f>
        <v>21st Century (2000+)</v>
      </c>
      <c r="D882" t="s">
        <v>419</v>
      </c>
      <c r="E882" t="s">
        <v>420</v>
      </c>
      <c r="F882" t="s">
        <v>23</v>
      </c>
      <c r="G882" t="s">
        <v>24</v>
      </c>
      <c r="H882">
        <v>4.3</v>
      </c>
      <c r="I882">
        <v>118751</v>
      </c>
      <c r="J882" t="s">
        <v>19</v>
      </c>
      <c r="K882">
        <v>1324.57</v>
      </c>
      <c r="L882">
        <v>794.74199999999996</v>
      </c>
      <c r="M882">
        <v>2.99</v>
      </c>
      <c r="N882">
        <v>234</v>
      </c>
      <c r="O882" t="s">
        <v>66</v>
      </c>
      <c r="P882">
        <v>443</v>
      </c>
    </row>
    <row r="883" spans="1:16" x14ac:dyDescent="0.35">
      <c r="A883">
        <v>723</v>
      </c>
      <c r="B883">
        <v>2007</v>
      </c>
      <c r="C883" t="str">
        <f>IF(book_sales[[#This Row],[Publishing Year]]&lt;1900,"Classic (Before 1900)",IF(book_sales[[#This Row],[Publishing Year]]&lt;2000,"20th Century (1900-1999)","21st Century (2000+)"))</f>
        <v>21st Century (2000+)</v>
      </c>
      <c r="D883" t="s">
        <v>1277</v>
      </c>
      <c r="E883" t="s">
        <v>420</v>
      </c>
      <c r="F883" t="s">
        <v>23</v>
      </c>
      <c r="G883" t="s">
        <v>532</v>
      </c>
      <c r="H883">
        <v>4.2300000000000004</v>
      </c>
      <c r="I883">
        <v>68255</v>
      </c>
      <c r="J883" t="s">
        <v>19</v>
      </c>
      <c r="K883">
        <v>349.83</v>
      </c>
      <c r="L883">
        <v>209.898</v>
      </c>
      <c r="M883">
        <v>2.99</v>
      </c>
      <c r="N883">
        <v>831</v>
      </c>
      <c r="O883" t="s">
        <v>27</v>
      </c>
      <c r="P883">
        <v>34128</v>
      </c>
    </row>
    <row r="884" spans="1:16" x14ac:dyDescent="0.35">
      <c r="A884">
        <v>615</v>
      </c>
      <c r="B884">
        <v>1993</v>
      </c>
      <c r="C884" t="str">
        <f>IF(book_sales[[#This Row],[Publishing Year]]&lt;1900,"Classic (Before 1900)",IF(book_sales[[#This Row],[Publishing Year]]&lt;2000,"20th Century (1900-1999)","21st Century (2000+)"))</f>
        <v>20th Century (1900-1999)</v>
      </c>
      <c r="D884" t="s">
        <v>1102</v>
      </c>
      <c r="E884" t="s">
        <v>1103</v>
      </c>
      <c r="F884" t="s">
        <v>17</v>
      </c>
      <c r="G884" t="s">
        <v>24</v>
      </c>
      <c r="H884">
        <v>3.98</v>
      </c>
      <c r="I884">
        <v>77277</v>
      </c>
      <c r="J884" t="s">
        <v>41</v>
      </c>
      <c r="K884">
        <v>129.69</v>
      </c>
      <c r="L884">
        <v>77.813999999999993</v>
      </c>
      <c r="M884">
        <v>0.99</v>
      </c>
      <c r="N884">
        <v>699</v>
      </c>
      <c r="O884" t="s">
        <v>27</v>
      </c>
      <c r="P884">
        <v>49680</v>
      </c>
    </row>
    <row r="885" spans="1:16" x14ac:dyDescent="0.35">
      <c r="A885">
        <v>435</v>
      </c>
      <c r="B885">
        <v>1986</v>
      </c>
      <c r="C885" t="str">
        <f>IF(book_sales[[#This Row],[Publishing Year]]&lt;1900,"Classic (Before 1900)",IF(book_sales[[#This Row],[Publishing Year]]&lt;2000,"20th Century (1900-1999)","21st Century (2000+)"))</f>
        <v>20th Century (1900-1999)</v>
      </c>
      <c r="D885" t="s">
        <v>809</v>
      </c>
      <c r="E885" t="s">
        <v>810</v>
      </c>
      <c r="G885" t="s">
        <v>532</v>
      </c>
      <c r="H885">
        <v>4.0999999999999996</v>
      </c>
      <c r="I885">
        <v>91774</v>
      </c>
      <c r="J885" t="s">
        <v>19</v>
      </c>
      <c r="K885">
        <v>553.15</v>
      </c>
      <c r="L885">
        <v>331.89</v>
      </c>
      <c r="M885">
        <v>2.99</v>
      </c>
      <c r="N885">
        <v>479</v>
      </c>
      <c r="O885" t="s">
        <v>27</v>
      </c>
      <c r="P885">
        <v>4995</v>
      </c>
    </row>
    <row r="886" spans="1:16" x14ac:dyDescent="0.35">
      <c r="A886">
        <v>250</v>
      </c>
      <c r="B886">
        <v>2006</v>
      </c>
      <c r="C886" t="str">
        <f>IF(book_sales[[#This Row],[Publishing Year]]&lt;1900,"Classic (Before 1900)",IF(book_sales[[#This Row],[Publishing Year]]&lt;2000,"20th Century (1900-1999)","21st Century (2000+)"))</f>
        <v>21st Century (2000+)</v>
      </c>
      <c r="D886" t="s">
        <v>479</v>
      </c>
      <c r="E886" t="s">
        <v>480</v>
      </c>
      <c r="F886" t="s">
        <v>23</v>
      </c>
      <c r="G886" t="s">
        <v>24</v>
      </c>
      <c r="H886">
        <v>3.77</v>
      </c>
      <c r="I886">
        <v>139168</v>
      </c>
      <c r="J886" t="s">
        <v>19</v>
      </c>
      <c r="K886">
        <v>1124.24</v>
      </c>
      <c r="L886">
        <v>674.54399999999998</v>
      </c>
      <c r="M886">
        <v>2.99</v>
      </c>
      <c r="N886">
        <v>274</v>
      </c>
      <c r="O886" t="s">
        <v>27</v>
      </c>
      <c r="P886">
        <v>376</v>
      </c>
    </row>
    <row r="887" spans="1:16" x14ac:dyDescent="0.35">
      <c r="A887">
        <v>867</v>
      </c>
      <c r="B887">
        <v>2006</v>
      </c>
      <c r="C887" t="str">
        <f>IF(book_sales[[#This Row],[Publishing Year]]&lt;1900,"Classic (Before 1900)",IF(book_sales[[#This Row],[Publishing Year]]&lt;2000,"20th Century (1900-1999)","21st Century (2000+)"))</f>
        <v>21st Century (2000+)</v>
      </c>
      <c r="D887" t="s">
        <v>1496</v>
      </c>
      <c r="E887" t="s">
        <v>480</v>
      </c>
      <c r="F887" t="s">
        <v>17</v>
      </c>
      <c r="G887" t="s">
        <v>24</v>
      </c>
      <c r="H887">
        <v>3.59</v>
      </c>
      <c r="I887">
        <v>85873</v>
      </c>
      <c r="J887" t="s">
        <v>19</v>
      </c>
      <c r="K887">
        <v>110.88</v>
      </c>
      <c r="L887">
        <v>66.528000000000006</v>
      </c>
      <c r="M887">
        <v>0.99</v>
      </c>
      <c r="N887">
        <v>1013</v>
      </c>
      <c r="O887" t="s">
        <v>27</v>
      </c>
      <c r="P887">
        <v>2862</v>
      </c>
    </row>
    <row r="888" spans="1:16" x14ac:dyDescent="0.35">
      <c r="A888">
        <v>517</v>
      </c>
      <c r="B888">
        <v>1997</v>
      </c>
      <c r="C888" t="str">
        <f>IF(book_sales[[#This Row],[Publishing Year]]&lt;1900,"Classic (Before 1900)",IF(book_sales[[#This Row],[Publishing Year]]&lt;2000,"20th Century (1900-1999)","21st Century (2000+)"))</f>
        <v>20th Century (1900-1999)</v>
      </c>
      <c r="D888" t="s">
        <v>942</v>
      </c>
      <c r="E888" t="s">
        <v>943</v>
      </c>
      <c r="F888" t="s">
        <v>17</v>
      </c>
      <c r="G888" t="s">
        <v>532</v>
      </c>
      <c r="H888">
        <v>4.07</v>
      </c>
      <c r="I888">
        <v>45382</v>
      </c>
      <c r="J888" t="s">
        <v>19</v>
      </c>
      <c r="K888">
        <v>634.41</v>
      </c>
      <c r="L888">
        <v>380.64600000000002</v>
      </c>
      <c r="M888">
        <v>3.99</v>
      </c>
      <c r="N888">
        <v>572</v>
      </c>
      <c r="O888" t="s">
        <v>31</v>
      </c>
      <c r="P888">
        <v>4293</v>
      </c>
    </row>
    <row r="889" spans="1:16" x14ac:dyDescent="0.35">
      <c r="A889">
        <v>271</v>
      </c>
      <c r="B889">
        <v>2010</v>
      </c>
      <c r="C889" t="str">
        <f>IF(book_sales[[#This Row],[Publishing Year]]&lt;1900,"Classic (Before 1900)",IF(book_sales[[#This Row],[Publishing Year]]&lt;2000,"20th Century (1900-1999)","21st Century (2000+)"))</f>
        <v>21st Century (2000+)</v>
      </c>
      <c r="D889" t="s">
        <v>516</v>
      </c>
      <c r="E889" t="s">
        <v>517</v>
      </c>
      <c r="F889" t="s">
        <v>17</v>
      </c>
      <c r="G889" t="s">
        <v>24</v>
      </c>
      <c r="H889">
        <v>3.7</v>
      </c>
      <c r="I889">
        <v>106336</v>
      </c>
      <c r="J889" t="s">
        <v>19</v>
      </c>
      <c r="K889">
        <v>344.52</v>
      </c>
      <c r="L889">
        <v>0</v>
      </c>
      <c r="M889">
        <v>0.99</v>
      </c>
      <c r="N889">
        <v>291</v>
      </c>
      <c r="O889" t="s">
        <v>27</v>
      </c>
      <c r="P889">
        <v>348</v>
      </c>
    </row>
    <row r="890" spans="1:16" x14ac:dyDescent="0.35">
      <c r="A890">
        <v>508</v>
      </c>
      <c r="B890">
        <v>2009</v>
      </c>
      <c r="C890" t="str">
        <f>IF(book_sales[[#This Row],[Publishing Year]]&lt;1900,"Classic (Before 1900)",IF(book_sales[[#This Row],[Publishing Year]]&lt;2000,"20th Century (1900-1999)","21st Century (2000+)"))</f>
        <v>21st Century (2000+)</v>
      </c>
      <c r="D890" t="s">
        <v>926</v>
      </c>
      <c r="E890" t="s">
        <v>927</v>
      </c>
      <c r="F890" t="s">
        <v>23</v>
      </c>
      <c r="G890" t="s">
        <v>18</v>
      </c>
      <c r="H890">
        <v>3.28</v>
      </c>
      <c r="I890">
        <v>103995</v>
      </c>
      <c r="J890" t="s">
        <v>19</v>
      </c>
      <c r="K890">
        <v>615.02</v>
      </c>
      <c r="L890">
        <v>369.012</v>
      </c>
      <c r="M890">
        <v>3.82</v>
      </c>
      <c r="N890">
        <v>562</v>
      </c>
      <c r="O890" t="s">
        <v>27</v>
      </c>
      <c r="P890">
        <v>4347</v>
      </c>
    </row>
    <row r="891" spans="1:16" x14ac:dyDescent="0.35">
      <c r="A891">
        <v>644</v>
      </c>
      <c r="B891">
        <v>2003</v>
      </c>
      <c r="C891" t="str">
        <f>IF(book_sales[[#This Row],[Publishing Year]]&lt;1900,"Classic (Before 1900)",IF(book_sales[[#This Row],[Publishing Year]]&lt;2000,"20th Century (1900-1999)","21st Century (2000+)"))</f>
        <v>21st Century (2000+)</v>
      </c>
      <c r="D891" t="s">
        <v>1149</v>
      </c>
      <c r="E891" t="s">
        <v>1150</v>
      </c>
      <c r="F891" t="s">
        <v>17</v>
      </c>
      <c r="G891" t="s">
        <v>532</v>
      </c>
      <c r="H891">
        <v>4.18</v>
      </c>
      <c r="I891">
        <v>92952</v>
      </c>
      <c r="J891" t="s">
        <v>19</v>
      </c>
      <c r="K891">
        <v>120.78</v>
      </c>
      <c r="L891">
        <v>72.468000000000004</v>
      </c>
      <c r="M891">
        <v>0.99</v>
      </c>
      <c r="N891">
        <v>738</v>
      </c>
      <c r="O891" t="s">
        <v>66</v>
      </c>
      <c r="P891">
        <v>44280</v>
      </c>
    </row>
    <row r="892" spans="1:16" x14ac:dyDescent="0.35">
      <c r="A892">
        <v>921</v>
      </c>
      <c r="B892">
        <v>2005</v>
      </c>
      <c r="C892" t="str">
        <f>IF(book_sales[[#This Row],[Publishing Year]]&lt;1900,"Classic (Before 1900)",IF(book_sales[[#This Row],[Publishing Year]]&lt;2000,"20th Century (1900-1999)","21st Century (2000+)"))</f>
        <v>21st Century (2000+)</v>
      </c>
      <c r="D892" t="s">
        <v>1575</v>
      </c>
      <c r="E892" t="s">
        <v>1150</v>
      </c>
      <c r="F892" t="s">
        <v>23</v>
      </c>
      <c r="G892" t="s">
        <v>532</v>
      </c>
      <c r="H892">
        <v>4.01</v>
      </c>
      <c r="I892">
        <v>82470</v>
      </c>
      <c r="J892" t="s">
        <v>19</v>
      </c>
      <c r="K892">
        <v>1414.14</v>
      </c>
      <c r="L892">
        <v>848.48400000000004</v>
      </c>
      <c r="M892">
        <v>12.74</v>
      </c>
      <c r="N892">
        <v>1080</v>
      </c>
      <c r="O892" t="s">
        <v>66</v>
      </c>
      <c r="P892">
        <v>4360</v>
      </c>
    </row>
    <row r="893" spans="1:16" x14ac:dyDescent="0.35">
      <c r="A893">
        <v>176</v>
      </c>
      <c r="B893">
        <v>1994</v>
      </c>
      <c r="C893" t="str">
        <f>IF(book_sales[[#This Row],[Publishing Year]]&lt;1900,"Classic (Before 1900)",IF(book_sales[[#This Row],[Publishing Year]]&lt;2000,"20th Century (1900-1999)","21st Century (2000+)"))</f>
        <v>20th Century (1900-1999)</v>
      </c>
      <c r="D893" t="s">
        <v>351</v>
      </c>
      <c r="E893" t="s">
        <v>352</v>
      </c>
      <c r="F893" t="s">
        <v>23</v>
      </c>
      <c r="G893" t="s">
        <v>24</v>
      </c>
      <c r="H893">
        <v>3.95</v>
      </c>
      <c r="I893">
        <v>129350</v>
      </c>
      <c r="J893" t="s">
        <v>41</v>
      </c>
      <c r="K893">
        <v>544.5</v>
      </c>
      <c r="L893">
        <v>326.7</v>
      </c>
      <c r="M893">
        <v>0.99</v>
      </c>
      <c r="N893">
        <v>190</v>
      </c>
      <c r="O893" t="s">
        <v>27</v>
      </c>
      <c r="P893">
        <v>550</v>
      </c>
    </row>
    <row r="894" spans="1:16" x14ac:dyDescent="0.35">
      <c r="A894">
        <v>1027</v>
      </c>
      <c r="B894">
        <v>2010</v>
      </c>
      <c r="C894" t="str">
        <f>IF(book_sales[[#This Row],[Publishing Year]]&lt;1900,"Classic (Before 1900)",IF(book_sales[[#This Row],[Publishing Year]]&lt;2000,"20th Century (1900-1999)","21st Century (2000+)"))</f>
        <v>21st Century (2000+)</v>
      </c>
      <c r="D894" t="s">
        <v>1737</v>
      </c>
      <c r="E894" t="s">
        <v>1738</v>
      </c>
      <c r="F894" t="s">
        <v>17</v>
      </c>
      <c r="G894" t="s">
        <v>532</v>
      </c>
      <c r="H894">
        <v>4.37</v>
      </c>
      <c r="I894">
        <v>63756</v>
      </c>
      <c r="J894" t="s">
        <v>41</v>
      </c>
      <c r="K894">
        <v>319.93</v>
      </c>
      <c r="L894">
        <v>0</v>
      </c>
      <c r="M894">
        <v>2.99</v>
      </c>
      <c r="N894">
        <v>1215</v>
      </c>
      <c r="O894" t="s">
        <v>27</v>
      </c>
      <c r="P894">
        <v>107</v>
      </c>
    </row>
    <row r="895" spans="1:16" x14ac:dyDescent="0.35">
      <c r="A895">
        <v>255</v>
      </c>
      <c r="B895">
        <v>1996</v>
      </c>
      <c r="C895" t="str">
        <f>IF(book_sales[[#This Row],[Publishing Year]]&lt;1900,"Classic (Before 1900)",IF(book_sales[[#This Row],[Publishing Year]]&lt;2000,"20th Century (1900-1999)","21st Century (2000+)"))</f>
        <v>20th Century (1900-1999)</v>
      </c>
      <c r="D895" t="s">
        <v>487</v>
      </c>
      <c r="E895" t="s">
        <v>488</v>
      </c>
      <c r="F895" t="s">
        <v>17</v>
      </c>
      <c r="G895" t="s">
        <v>24</v>
      </c>
      <c r="H895">
        <v>4.33</v>
      </c>
      <c r="I895">
        <v>111779</v>
      </c>
      <c r="J895" t="s">
        <v>19</v>
      </c>
      <c r="K895">
        <v>366.3</v>
      </c>
      <c r="L895">
        <v>0</v>
      </c>
      <c r="M895">
        <v>0.99</v>
      </c>
      <c r="N895">
        <v>278</v>
      </c>
      <c r="O895" t="s">
        <v>27</v>
      </c>
      <c r="P895">
        <v>370</v>
      </c>
    </row>
    <row r="896" spans="1:16" x14ac:dyDescent="0.35">
      <c r="A896">
        <v>60</v>
      </c>
      <c r="B896">
        <v>2007</v>
      </c>
      <c r="C896" t="str">
        <f>IF(book_sales[[#This Row],[Publishing Year]]&lt;1900,"Classic (Before 1900)",IF(book_sales[[#This Row],[Publishing Year]]&lt;2000,"20th Century (1900-1999)","21st Century (2000+)"))</f>
        <v>21st Century (2000+)</v>
      </c>
      <c r="D896" t="s">
        <v>147</v>
      </c>
      <c r="E896" t="s">
        <v>148</v>
      </c>
      <c r="F896" t="s">
        <v>23</v>
      </c>
      <c r="G896" t="s">
        <v>24</v>
      </c>
      <c r="H896">
        <v>4.1100000000000003</v>
      </c>
      <c r="I896">
        <v>160607</v>
      </c>
      <c r="J896" t="s">
        <v>19</v>
      </c>
      <c r="K896">
        <v>10384</v>
      </c>
      <c r="L896">
        <v>6230.4</v>
      </c>
      <c r="M896">
        <v>6.49</v>
      </c>
      <c r="N896">
        <v>61</v>
      </c>
      <c r="O896" t="s">
        <v>46</v>
      </c>
      <c r="P896">
        <v>1600</v>
      </c>
    </row>
    <row r="897" spans="1:16" x14ac:dyDescent="0.35">
      <c r="A897">
        <v>99</v>
      </c>
      <c r="B897">
        <v>2013</v>
      </c>
      <c r="C897" t="str">
        <f>IF(book_sales[[#This Row],[Publishing Year]]&lt;1900,"Classic (Before 1900)",IF(book_sales[[#This Row],[Publishing Year]]&lt;2000,"20th Century (1900-1999)","21st Century (2000+)"))</f>
        <v>21st Century (2000+)</v>
      </c>
      <c r="D897" t="s">
        <v>218</v>
      </c>
      <c r="E897" t="s">
        <v>219</v>
      </c>
      <c r="F897" t="s">
        <v>23</v>
      </c>
      <c r="G897" t="s">
        <v>24</v>
      </c>
      <c r="H897">
        <v>3.94</v>
      </c>
      <c r="I897">
        <v>135635</v>
      </c>
      <c r="J897" t="s">
        <v>19</v>
      </c>
      <c r="K897">
        <v>985.05</v>
      </c>
      <c r="L897">
        <v>0</v>
      </c>
      <c r="M897">
        <v>0.99</v>
      </c>
      <c r="N897">
        <v>101</v>
      </c>
      <c r="O897" t="s">
        <v>27</v>
      </c>
      <c r="P897">
        <v>995</v>
      </c>
    </row>
    <row r="898" spans="1:16" x14ac:dyDescent="0.35">
      <c r="A898">
        <v>847</v>
      </c>
      <c r="B898">
        <v>1998</v>
      </c>
      <c r="C898" t="str">
        <f>IF(book_sales[[#This Row],[Publishing Year]]&lt;1900,"Classic (Before 1900)",IF(book_sales[[#This Row],[Publishing Year]]&lt;2000,"20th Century (1900-1999)","21st Century (2000+)"))</f>
        <v>20th Century (1900-1999)</v>
      </c>
      <c r="D898" t="s">
        <v>1466</v>
      </c>
      <c r="E898" t="s">
        <v>1467</v>
      </c>
      <c r="F898" t="s">
        <v>23</v>
      </c>
      <c r="G898" t="s">
        <v>24</v>
      </c>
      <c r="H898">
        <v>3.84</v>
      </c>
      <c r="I898">
        <v>71411</v>
      </c>
      <c r="J898" t="s">
        <v>19</v>
      </c>
      <c r="K898">
        <v>450.87</v>
      </c>
      <c r="L898">
        <v>270.52199999999999</v>
      </c>
      <c r="M898">
        <v>3.99</v>
      </c>
      <c r="N898">
        <v>993</v>
      </c>
      <c r="O898" t="s">
        <v>66</v>
      </c>
      <c r="P898">
        <v>2862</v>
      </c>
    </row>
    <row r="899" spans="1:16" x14ac:dyDescent="0.35">
      <c r="A899">
        <v>981</v>
      </c>
      <c r="B899">
        <v>1853</v>
      </c>
      <c r="C899" t="str">
        <f>IF(book_sales[[#This Row],[Publishing Year]]&lt;1900,"Classic (Before 1900)",IF(book_sales[[#This Row],[Publishing Year]]&lt;2000,"20th Century (1900-1999)","21st Century (2000+)"))</f>
        <v>Classic (Before 1900)</v>
      </c>
      <c r="D899" t="s">
        <v>1668</v>
      </c>
      <c r="E899" t="s">
        <v>1669</v>
      </c>
      <c r="F899" t="s">
        <v>23</v>
      </c>
      <c r="G899" t="s">
        <v>532</v>
      </c>
      <c r="H899">
        <v>4.1500000000000004</v>
      </c>
      <c r="I899">
        <v>39758</v>
      </c>
      <c r="J899" t="s">
        <v>19</v>
      </c>
      <c r="K899">
        <v>543.91</v>
      </c>
      <c r="L899">
        <v>326.346</v>
      </c>
      <c r="M899">
        <v>4.99</v>
      </c>
      <c r="N899">
        <v>1156</v>
      </c>
      <c r="O899" t="s">
        <v>46</v>
      </c>
      <c r="P899">
        <v>4240</v>
      </c>
    </row>
    <row r="900" spans="1:16" x14ac:dyDescent="0.35">
      <c r="A900">
        <v>103</v>
      </c>
      <c r="B900">
        <v>2011</v>
      </c>
      <c r="C900" t="str">
        <f>IF(book_sales[[#This Row],[Publishing Year]]&lt;1900,"Classic (Before 1900)",IF(book_sales[[#This Row],[Publishing Year]]&lt;2000,"20th Century (1900-1999)","21st Century (2000+)"))</f>
        <v>21st Century (2000+)</v>
      </c>
      <c r="D900" t="s">
        <v>225</v>
      </c>
      <c r="E900" t="s">
        <v>226</v>
      </c>
      <c r="F900" t="s">
        <v>23</v>
      </c>
      <c r="G900" t="s">
        <v>24</v>
      </c>
      <c r="H900">
        <v>3.93</v>
      </c>
      <c r="I900">
        <v>144533</v>
      </c>
      <c r="J900" t="s">
        <v>19</v>
      </c>
      <c r="K900">
        <v>960.3</v>
      </c>
      <c r="L900">
        <v>0</v>
      </c>
      <c r="M900">
        <v>0.99</v>
      </c>
      <c r="N900">
        <v>106</v>
      </c>
      <c r="O900" t="s">
        <v>27</v>
      </c>
      <c r="P900">
        <v>970</v>
      </c>
    </row>
    <row r="901" spans="1:16" x14ac:dyDescent="0.35">
      <c r="A901">
        <v>230</v>
      </c>
      <c r="B901">
        <v>2009</v>
      </c>
      <c r="C901" t="str">
        <f>IF(book_sales[[#This Row],[Publishing Year]]&lt;1900,"Classic (Before 1900)",IF(book_sales[[#This Row],[Publishing Year]]&lt;2000,"20th Century (1900-1999)","21st Century (2000+)"))</f>
        <v>21st Century (2000+)</v>
      </c>
      <c r="D901" t="s">
        <v>445</v>
      </c>
      <c r="E901" t="s">
        <v>226</v>
      </c>
      <c r="F901" t="s">
        <v>23</v>
      </c>
      <c r="G901" t="s">
        <v>24</v>
      </c>
      <c r="H901">
        <v>3.82</v>
      </c>
      <c r="I901">
        <v>119105</v>
      </c>
      <c r="J901" t="s">
        <v>19</v>
      </c>
      <c r="K901">
        <v>2070.85</v>
      </c>
      <c r="L901">
        <v>1242.51</v>
      </c>
      <c r="M901">
        <v>4.99</v>
      </c>
      <c r="N901">
        <v>251</v>
      </c>
      <c r="O901" t="s">
        <v>46</v>
      </c>
      <c r="P901">
        <v>415</v>
      </c>
    </row>
    <row r="902" spans="1:16" x14ac:dyDescent="0.35">
      <c r="A902">
        <v>421</v>
      </c>
      <c r="B902">
        <v>2007</v>
      </c>
      <c r="C902" t="str">
        <f>IF(book_sales[[#This Row],[Publishing Year]]&lt;1900,"Classic (Before 1900)",IF(book_sales[[#This Row],[Publishing Year]]&lt;2000,"20th Century (1900-1999)","21st Century (2000+)"))</f>
        <v>21st Century (2000+)</v>
      </c>
      <c r="D902" t="s">
        <v>787</v>
      </c>
      <c r="E902" t="s">
        <v>226</v>
      </c>
      <c r="F902" t="s">
        <v>23</v>
      </c>
      <c r="G902" t="s">
        <v>24</v>
      </c>
      <c r="H902">
        <v>3.77</v>
      </c>
      <c r="I902">
        <v>98130</v>
      </c>
      <c r="J902" t="s">
        <v>19</v>
      </c>
      <c r="K902">
        <v>191.07</v>
      </c>
      <c r="L902">
        <v>0</v>
      </c>
      <c r="M902">
        <v>0.99</v>
      </c>
      <c r="N902">
        <v>463</v>
      </c>
      <c r="O902" t="s">
        <v>27</v>
      </c>
      <c r="P902">
        <v>5211</v>
      </c>
    </row>
    <row r="903" spans="1:16" x14ac:dyDescent="0.35">
      <c r="A903">
        <v>424</v>
      </c>
      <c r="B903">
        <v>2001</v>
      </c>
      <c r="C903" t="str">
        <f>IF(book_sales[[#This Row],[Publishing Year]]&lt;1900,"Classic (Before 1900)",IF(book_sales[[#This Row],[Publishing Year]]&lt;2000,"20th Century (1900-1999)","21st Century (2000+)"))</f>
        <v>21st Century (2000+)</v>
      </c>
      <c r="D903" t="s">
        <v>791</v>
      </c>
      <c r="E903" t="s">
        <v>226</v>
      </c>
      <c r="F903" t="s">
        <v>17</v>
      </c>
      <c r="G903" t="s">
        <v>24</v>
      </c>
      <c r="H903">
        <v>3.75</v>
      </c>
      <c r="I903">
        <v>93498</v>
      </c>
      <c r="J903" t="s">
        <v>19</v>
      </c>
      <c r="K903">
        <v>1468.79</v>
      </c>
      <c r="L903">
        <v>881.274</v>
      </c>
      <c r="M903">
        <v>7.69</v>
      </c>
      <c r="N903">
        <v>468</v>
      </c>
      <c r="O903" t="s">
        <v>34</v>
      </c>
      <c r="P903">
        <v>5157</v>
      </c>
    </row>
    <row r="904" spans="1:16" x14ac:dyDescent="0.35">
      <c r="A904">
        <v>532</v>
      </c>
      <c r="B904">
        <v>2002</v>
      </c>
      <c r="C904" t="str">
        <f>IF(book_sales[[#This Row],[Publishing Year]]&lt;1900,"Classic (Before 1900)",IF(book_sales[[#This Row],[Publishing Year]]&lt;2000,"20th Century (1900-1999)","21st Century (2000+)"))</f>
        <v>21st Century (2000+)</v>
      </c>
      <c r="D904" t="s">
        <v>966</v>
      </c>
      <c r="E904" t="s">
        <v>226</v>
      </c>
      <c r="F904" t="s">
        <v>23</v>
      </c>
      <c r="G904" t="s">
        <v>24</v>
      </c>
      <c r="H904">
        <v>3.77</v>
      </c>
      <c r="I904">
        <v>88139</v>
      </c>
      <c r="J904" t="s">
        <v>19</v>
      </c>
      <c r="K904">
        <v>460.46</v>
      </c>
      <c r="L904">
        <v>0</v>
      </c>
      <c r="M904">
        <v>2.99</v>
      </c>
      <c r="N904">
        <v>594</v>
      </c>
      <c r="O904" t="s">
        <v>27</v>
      </c>
      <c r="P904">
        <v>4158</v>
      </c>
    </row>
    <row r="905" spans="1:16" x14ac:dyDescent="0.35">
      <c r="A905">
        <v>905</v>
      </c>
      <c r="B905">
        <v>2004</v>
      </c>
      <c r="C905" t="str">
        <f>IF(book_sales[[#This Row],[Publishing Year]]&lt;1900,"Classic (Before 1900)",IF(book_sales[[#This Row],[Publishing Year]]&lt;2000,"20th Century (1900-1999)","21st Century (2000+)"))</f>
        <v>21st Century (2000+)</v>
      </c>
      <c r="D905" t="s">
        <v>1549</v>
      </c>
      <c r="E905" t="s">
        <v>226</v>
      </c>
      <c r="F905" t="s">
        <v>23</v>
      </c>
      <c r="G905" t="s">
        <v>24</v>
      </c>
      <c r="H905">
        <v>3.64</v>
      </c>
      <c r="I905">
        <v>69007</v>
      </c>
      <c r="J905" t="s">
        <v>19</v>
      </c>
      <c r="K905">
        <v>331.89</v>
      </c>
      <c r="L905">
        <v>0</v>
      </c>
      <c r="M905">
        <v>2.99</v>
      </c>
      <c r="N905">
        <v>1059</v>
      </c>
      <c r="O905" t="s">
        <v>27</v>
      </c>
      <c r="P905">
        <v>4400</v>
      </c>
    </row>
    <row r="906" spans="1:16" x14ac:dyDescent="0.35">
      <c r="A906">
        <v>293</v>
      </c>
      <c r="B906">
        <v>-430</v>
      </c>
      <c r="C906" t="str">
        <f>IF(book_sales[[#This Row],[Publishing Year]]&lt;1900,"Classic (Before 1900)",IF(book_sales[[#This Row],[Publishing Year]]&lt;2000,"20th Century (1900-1999)","21st Century (2000+)"))</f>
        <v>Classic (Before 1900)</v>
      </c>
      <c r="D906" t="s">
        <v>557</v>
      </c>
      <c r="E906" t="s">
        <v>558</v>
      </c>
      <c r="F906" t="s">
        <v>23</v>
      </c>
      <c r="G906" t="s">
        <v>24</v>
      </c>
      <c r="H906">
        <v>3.67</v>
      </c>
      <c r="I906">
        <v>119496</v>
      </c>
      <c r="J906" t="s">
        <v>19</v>
      </c>
      <c r="K906">
        <v>2460.92</v>
      </c>
      <c r="L906">
        <v>1476.5519999999999</v>
      </c>
      <c r="M906">
        <v>7.99</v>
      </c>
      <c r="N906">
        <v>315</v>
      </c>
      <c r="O906" t="s">
        <v>31</v>
      </c>
      <c r="P906">
        <v>308</v>
      </c>
    </row>
    <row r="907" spans="1:16" x14ac:dyDescent="0.35">
      <c r="A907">
        <v>990</v>
      </c>
      <c r="B907">
        <v>-441</v>
      </c>
      <c r="C907" t="str">
        <f>IF(book_sales[[#This Row],[Publishing Year]]&lt;1900,"Classic (Before 1900)",IF(book_sales[[#This Row],[Publishing Year]]&lt;2000,"20th Century (1900-1999)","21st Century (2000+)"))</f>
        <v>Classic (Before 1900)</v>
      </c>
      <c r="D907" t="s">
        <v>1683</v>
      </c>
      <c r="E907" t="s">
        <v>558</v>
      </c>
      <c r="F907" t="s">
        <v>23</v>
      </c>
      <c r="G907" t="s">
        <v>24</v>
      </c>
      <c r="H907">
        <v>3.6</v>
      </c>
      <c r="I907">
        <v>67608</v>
      </c>
      <c r="J907" t="s">
        <v>19</v>
      </c>
      <c r="K907">
        <v>106.92</v>
      </c>
      <c r="L907">
        <v>64.152000000000001</v>
      </c>
      <c r="M907">
        <v>0.99</v>
      </c>
      <c r="N907">
        <v>1167</v>
      </c>
      <c r="O907" t="s">
        <v>27</v>
      </c>
      <c r="P907">
        <v>108</v>
      </c>
    </row>
    <row r="908" spans="1:16" x14ac:dyDescent="0.35">
      <c r="A908">
        <v>437</v>
      </c>
      <c r="B908">
        <v>2006</v>
      </c>
      <c r="C908" t="str">
        <f>IF(book_sales[[#This Row],[Publishing Year]]&lt;1900,"Classic (Before 1900)",IF(book_sales[[#This Row],[Publishing Year]]&lt;2000,"20th Century (1900-1999)","21st Century (2000+)"))</f>
        <v>21st Century (2000+)</v>
      </c>
      <c r="D908" t="s">
        <v>812</v>
      </c>
      <c r="E908" t="s">
        <v>813</v>
      </c>
      <c r="F908" t="s">
        <v>23</v>
      </c>
      <c r="G908" t="s">
        <v>24</v>
      </c>
      <c r="H908">
        <v>3.62</v>
      </c>
      <c r="I908">
        <v>73994</v>
      </c>
      <c r="J908" t="s">
        <v>19</v>
      </c>
      <c r="K908">
        <v>181.17</v>
      </c>
      <c r="L908">
        <v>0</v>
      </c>
      <c r="M908">
        <v>0.99</v>
      </c>
      <c r="N908">
        <v>483</v>
      </c>
      <c r="O908" t="s">
        <v>27</v>
      </c>
      <c r="P908">
        <v>4941</v>
      </c>
    </row>
    <row r="909" spans="1:16" x14ac:dyDescent="0.35">
      <c r="A909">
        <v>473</v>
      </c>
      <c r="B909">
        <v>2011</v>
      </c>
      <c r="C909" t="str">
        <f>IF(book_sales[[#This Row],[Publishing Year]]&lt;1900,"Classic (Before 1900)",IF(book_sales[[#This Row],[Publishing Year]]&lt;2000,"20th Century (1900-1999)","21st Century (2000+)"))</f>
        <v>21st Century (2000+)</v>
      </c>
      <c r="D909" t="s">
        <v>872</v>
      </c>
      <c r="E909" t="s">
        <v>873</v>
      </c>
      <c r="F909" t="s">
        <v>17</v>
      </c>
      <c r="G909" t="s">
        <v>24</v>
      </c>
      <c r="H909">
        <v>4</v>
      </c>
      <c r="I909">
        <v>108370</v>
      </c>
      <c r="J909" t="s">
        <v>19</v>
      </c>
      <c r="K909">
        <v>674.31</v>
      </c>
      <c r="L909">
        <v>404.58600000000001</v>
      </c>
      <c r="M909">
        <v>3.99</v>
      </c>
      <c r="N909">
        <v>524</v>
      </c>
      <c r="O909" t="s">
        <v>27</v>
      </c>
      <c r="P909">
        <v>4563</v>
      </c>
    </row>
    <row r="910" spans="1:16" x14ac:dyDescent="0.35">
      <c r="A910">
        <v>625</v>
      </c>
      <c r="B910">
        <v>2007</v>
      </c>
      <c r="C910" t="str">
        <f>IF(book_sales[[#This Row],[Publishing Year]]&lt;1900,"Classic (Before 1900)",IF(book_sales[[#This Row],[Publishing Year]]&lt;2000,"20th Century (1900-1999)","21st Century (2000+)"))</f>
        <v>21st Century (2000+)</v>
      </c>
      <c r="D910" t="s">
        <v>1117</v>
      </c>
      <c r="E910" t="s">
        <v>1118</v>
      </c>
      <c r="F910" t="s">
        <v>17</v>
      </c>
      <c r="G910" t="s">
        <v>24</v>
      </c>
      <c r="H910">
        <v>3.91</v>
      </c>
      <c r="I910">
        <v>71023</v>
      </c>
      <c r="J910" t="s">
        <v>19</v>
      </c>
      <c r="K910">
        <v>885.76</v>
      </c>
      <c r="L910">
        <v>531.45600000000002</v>
      </c>
      <c r="M910">
        <v>6.92</v>
      </c>
      <c r="N910">
        <v>710</v>
      </c>
      <c r="O910" t="s">
        <v>34</v>
      </c>
      <c r="P910">
        <v>47520</v>
      </c>
    </row>
    <row r="911" spans="1:16" x14ac:dyDescent="0.35">
      <c r="A911">
        <v>995</v>
      </c>
      <c r="B911">
        <v>1871</v>
      </c>
      <c r="C911" t="str">
        <f>IF(book_sales[[#This Row],[Publishing Year]]&lt;1900,"Classic (Before 1900)",IF(book_sales[[#This Row],[Publishing Year]]&lt;2000,"20th Century (1900-1999)","21st Century (2000+)"))</f>
        <v>Classic (Before 1900)</v>
      </c>
      <c r="D911" t="s">
        <v>1691</v>
      </c>
      <c r="E911" t="s">
        <v>1692</v>
      </c>
      <c r="F911" t="s">
        <v>23</v>
      </c>
      <c r="G911" t="s">
        <v>18</v>
      </c>
      <c r="H911">
        <v>3.21</v>
      </c>
      <c r="I911">
        <v>68448</v>
      </c>
      <c r="J911" t="s">
        <v>19</v>
      </c>
      <c r="K911">
        <v>1186.92</v>
      </c>
      <c r="L911">
        <v>712.15200000000004</v>
      </c>
      <c r="M911">
        <v>10.99</v>
      </c>
      <c r="N911">
        <v>1173</v>
      </c>
      <c r="O911" t="s">
        <v>34</v>
      </c>
      <c r="P911">
        <v>108</v>
      </c>
    </row>
    <row r="912" spans="1:16" x14ac:dyDescent="0.35">
      <c r="A912">
        <v>782</v>
      </c>
      <c r="B912">
        <v>1992</v>
      </c>
      <c r="C912" t="str">
        <f>IF(book_sales[[#This Row],[Publishing Year]]&lt;1900,"Classic (Before 1900)",IF(book_sales[[#This Row],[Publishing Year]]&lt;2000,"20th Century (1900-1999)","21st Century (2000+)"))</f>
        <v>20th Century (1900-1999)</v>
      </c>
      <c r="D912" t="s">
        <v>1371</v>
      </c>
      <c r="E912" t="s">
        <v>1372</v>
      </c>
      <c r="F912" t="s">
        <v>23</v>
      </c>
      <c r="G912" t="s">
        <v>53</v>
      </c>
      <c r="H912">
        <v>4.42</v>
      </c>
      <c r="I912">
        <v>66079</v>
      </c>
      <c r="J912" t="s">
        <v>19</v>
      </c>
      <c r="K912">
        <v>343.85</v>
      </c>
      <c r="L912">
        <v>0</v>
      </c>
      <c r="M912">
        <v>2.99</v>
      </c>
      <c r="N912">
        <v>907</v>
      </c>
      <c r="O912" t="s">
        <v>27</v>
      </c>
      <c r="P912">
        <v>2943</v>
      </c>
    </row>
    <row r="913" spans="1:16" x14ac:dyDescent="0.35">
      <c r="A913">
        <v>22</v>
      </c>
      <c r="B913">
        <v>1991</v>
      </c>
      <c r="C913" t="str">
        <f>IF(book_sales[[#This Row],[Publishing Year]]&lt;1900,"Classic (Before 1900)",IF(book_sales[[#This Row],[Publishing Year]]&lt;2000,"20th Century (1900-1999)","21st Century (2000+)"))</f>
        <v>20th Century (1900-1999)</v>
      </c>
      <c r="D913" t="s">
        <v>73</v>
      </c>
      <c r="E913" t="s">
        <v>74</v>
      </c>
      <c r="G913" t="s">
        <v>24</v>
      </c>
      <c r="H913">
        <v>3.87</v>
      </c>
      <c r="I913">
        <v>153821</v>
      </c>
      <c r="J913" t="s">
        <v>19</v>
      </c>
      <c r="K913">
        <v>2772</v>
      </c>
      <c r="L913">
        <v>0</v>
      </c>
      <c r="M913">
        <v>0.99</v>
      </c>
      <c r="N913">
        <v>23</v>
      </c>
      <c r="O913" t="s">
        <v>27</v>
      </c>
      <c r="P913">
        <v>2800</v>
      </c>
    </row>
    <row r="914" spans="1:16" x14ac:dyDescent="0.35">
      <c r="A914">
        <v>25</v>
      </c>
      <c r="B914">
        <v>1981</v>
      </c>
      <c r="C914" t="str">
        <f>IF(book_sales[[#This Row],[Publishing Year]]&lt;1900,"Classic (Before 1900)",IF(book_sales[[#This Row],[Publishing Year]]&lt;2000,"20th Century (1900-1999)","21st Century (2000+)"))</f>
        <v>20th Century (1900-1999)</v>
      </c>
      <c r="D914" t="s">
        <v>77</v>
      </c>
      <c r="E914" t="s">
        <v>74</v>
      </c>
      <c r="F914" t="s">
        <v>78</v>
      </c>
      <c r="G914" t="s">
        <v>24</v>
      </c>
      <c r="H914">
        <v>3.65</v>
      </c>
      <c r="I914">
        <v>158215</v>
      </c>
      <c r="J914" t="s">
        <v>19</v>
      </c>
      <c r="K914">
        <v>7774</v>
      </c>
      <c r="L914">
        <v>0</v>
      </c>
      <c r="M914">
        <v>2.99</v>
      </c>
      <c r="N914">
        <v>26</v>
      </c>
      <c r="O914" t="s">
        <v>27</v>
      </c>
      <c r="P914">
        <v>2600</v>
      </c>
    </row>
    <row r="915" spans="1:16" x14ac:dyDescent="0.35">
      <c r="A915">
        <v>78</v>
      </c>
      <c r="B915">
        <v>2006</v>
      </c>
      <c r="C915" t="str">
        <f>IF(book_sales[[#This Row],[Publishing Year]]&lt;1900,"Classic (Before 1900)",IF(book_sales[[#This Row],[Publishing Year]]&lt;2000,"20th Century (1900-1999)","21st Century (2000+)"))</f>
        <v>21st Century (2000+)</v>
      </c>
      <c r="D915" t="s">
        <v>182</v>
      </c>
      <c r="E915" t="s">
        <v>74</v>
      </c>
      <c r="F915" t="s">
        <v>17</v>
      </c>
      <c r="G915" t="s">
        <v>24</v>
      </c>
      <c r="H915">
        <v>3.64</v>
      </c>
      <c r="I915">
        <v>144591</v>
      </c>
      <c r="J915" t="s">
        <v>19</v>
      </c>
      <c r="K915">
        <v>5933.78</v>
      </c>
      <c r="L915">
        <v>3560.268</v>
      </c>
      <c r="M915">
        <v>4.54</v>
      </c>
      <c r="N915">
        <v>80</v>
      </c>
      <c r="O915" t="s">
        <v>20</v>
      </c>
      <c r="P915">
        <v>1307</v>
      </c>
    </row>
    <row r="916" spans="1:16" x14ac:dyDescent="0.35">
      <c r="A916">
        <v>81</v>
      </c>
      <c r="B916">
        <v>1987</v>
      </c>
      <c r="C916" t="str">
        <f>IF(book_sales[[#This Row],[Publishing Year]]&lt;1900,"Classic (Before 1900)",IF(book_sales[[#This Row],[Publishing Year]]&lt;2000,"20th Century (1900-1999)","21st Century (2000+)"))</f>
        <v>20th Century (1900-1999)</v>
      </c>
      <c r="D916" t="s">
        <v>187</v>
      </c>
      <c r="E916" t="s">
        <v>74</v>
      </c>
      <c r="F916" t="s">
        <v>23</v>
      </c>
      <c r="G916" t="s">
        <v>24</v>
      </c>
      <c r="H916">
        <v>4.2300000000000004</v>
      </c>
      <c r="I916">
        <v>139052</v>
      </c>
      <c r="J916" t="s">
        <v>41</v>
      </c>
      <c r="K916">
        <v>2539.2399999999998</v>
      </c>
      <c r="L916">
        <v>1523.5440000000001</v>
      </c>
      <c r="M916">
        <v>1.99</v>
      </c>
      <c r="N916">
        <v>82</v>
      </c>
      <c r="O916" t="s">
        <v>20</v>
      </c>
      <c r="P916">
        <v>1276</v>
      </c>
    </row>
    <row r="917" spans="1:16" x14ac:dyDescent="0.35">
      <c r="A917">
        <v>92</v>
      </c>
      <c r="B917">
        <v>2014</v>
      </c>
      <c r="C917" t="str">
        <f>IF(book_sales[[#This Row],[Publishing Year]]&lt;1900,"Classic (Before 1900)",IF(book_sales[[#This Row],[Publishing Year]]&lt;2000,"20th Century (1900-1999)","21st Century (2000+)"))</f>
        <v>21st Century (2000+)</v>
      </c>
      <c r="D917" t="s">
        <v>206</v>
      </c>
      <c r="E917" t="s">
        <v>74</v>
      </c>
      <c r="F917" t="s">
        <v>23</v>
      </c>
      <c r="G917" t="s">
        <v>24</v>
      </c>
      <c r="H917">
        <v>3.92</v>
      </c>
      <c r="I917">
        <v>125847</v>
      </c>
      <c r="J917" t="s">
        <v>19</v>
      </c>
      <c r="K917">
        <v>2202.9299999999998</v>
      </c>
      <c r="L917">
        <v>1321.758</v>
      </c>
      <c r="M917">
        <v>1.99</v>
      </c>
      <c r="N917">
        <v>93</v>
      </c>
      <c r="O917" t="s">
        <v>133</v>
      </c>
      <c r="P917">
        <v>1107</v>
      </c>
    </row>
    <row r="918" spans="1:16" x14ac:dyDescent="0.35">
      <c r="A918">
        <v>139</v>
      </c>
      <c r="B918">
        <v>1979</v>
      </c>
      <c r="C918" t="str">
        <f>IF(book_sales[[#This Row],[Publishing Year]]&lt;1900,"Classic (Before 1900)",IF(book_sales[[#This Row],[Publishing Year]]&lt;2000,"20th Century (1900-1999)","21st Century (2000+)"))</f>
        <v>20th Century (1900-1999)</v>
      </c>
      <c r="D918" t="s">
        <v>289</v>
      </c>
      <c r="E918" t="s">
        <v>74</v>
      </c>
      <c r="F918" t="s">
        <v>17</v>
      </c>
      <c r="G918" t="s">
        <v>24</v>
      </c>
      <c r="H918">
        <v>3.9</v>
      </c>
      <c r="I918">
        <v>132723</v>
      </c>
      <c r="J918" t="s">
        <v>19</v>
      </c>
      <c r="K918">
        <v>1512.4</v>
      </c>
      <c r="L918">
        <v>907.44</v>
      </c>
      <c r="M918">
        <v>1.99</v>
      </c>
      <c r="N918">
        <v>148</v>
      </c>
      <c r="O918" t="s">
        <v>20</v>
      </c>
      <c r="P918">
        <v>760</v>
      </c>
    </row>
    <row r="919" spans="1:16" x14ac:dyDescent="0.35">
      <c r="A919">
        <v>144</v>
      </c>
      <c r="B919">
        <v>1980</v>
      </c>
      <c r="C919" t="str">
        <f>IF(book_sales[[#This Row],[Publishing Year]]&lt;1900,"Classic (Before 1900)",IF(book_sales[[#This Row],[Publishing Year]]&lt;2000,"20th Century (1900-1999)","21st Century (2000+)"))</f>
        <v>20th Century (1900-1999)</v>
      </c>
      <c r="D919" t="s">
        <v>297</v>
      </c>
      <c r="E919" t="s">
        <v>74</v>
      </c>
      <c r="F919" t="s">
        <v>23</v>
      </c>
      <c r="G919" t="s">
        <v>24</v>
      </c>
      <c r="H919">
        <v>3.85</v>
      </c>
      <c r="I919">
        <v>142213</v>
      </c>
      <c r="J919" t="s">
        <v>19</v>
      </c>
      <c r="K919">
        <v>2952.6</v>
      </c>
      <c r="L919">
        <v>1771.56</v>
      </c>
      <c r="M919">
        <v>3.99</v>
      </c>
      <c r="N919">
        <v>152</v>
      </c>
      <c r="O919" t="s">
        <v>133</v>
      </c>
      <c r="P919">
        <v>740</v>
      </c>
    </row>
    <row r="920" spans="1:16" x14ac:dyDescent="0.35">
      <c r="A920">
        <v>160</v>
      </c>
      <c r="B920">
        <v>1999</v>
      </c>
      <c r="C920" t="str">
        <f>IF(book_sales[[#This Row],[Publishing Year]]&lt;1900,"Classic (Before 1900)",IF(book_sales[[#This Row],[Publishing Year]]&lt;2000,"20th Century (1900-1999)","21st Century (2000+)"))</f>
        <v>20th Century (1900-1999)</v>
      </c>
      <c r="D920" t="s">
        <v>323</v>
      </c>
      <c r="E920" t="s">
        <v>74</v>
      </c>
      <c r="F920" t="s">
        <v>23</v>
      </c>
      <c r="G920" t="s">
        <v>24</v>
      </c>
      <c r="H920">
        <v>4.3099999999999996</v>
      </c>
      <c r="I920">
        <v>131481</v>
      </c>
      <c r="J920" t="s">
        <v>19</v>
      </c>
      <c r="K920">
        <v>1943.5</v>
      </c>
      <c r="L920">
        <v>0</v>
      </c>
      <c r="M920">
        <v>2.99</v>
      </c>
      <c r="N920">
        <v>170</v>
      </c>
      <c r="O920" t="s">
        <v>27</v>
      </c>
      <c r="P920">
        <v>650</v>
      </c>
    </row>
    <row r="921" spans="1:16" x14ac:dyDescent="0.35">
      <c r="A921">
        <v>172</v>
      </c>
      <c r="B921">
        <v>1998</v>
      </c>
      <c r="C921" t="str">
        <f>IF(book_sales[[#This Row],[Publishing Year]]&lt;1900,"Classic (Before 1900)",IF(book_sales[[#This Row],[Publishing Year]]&lt;2000,"20th Century (1900-1999)","21st Century (2000+)"))</f>
        <v>20th Century (1900-1999)</v>
      </c>
      <c r="D921" t="s">
        <v>344</v>
      </c>
      <c r="E921" t="s">
        <v>74</v>
      </c>
      <c r="F921" t="s">
        <v>17</v>
      </c>
      <c r="G921" t="s">
        <v>24</v>
      </c>
      <c r="H921">
        <v>3.87</v>
      </c>
      <c r="I921">
        <v>131004</v>
      </c>
      <c r="J921" t="s">
        <v>19</v>
      </c>
      <c r="K921">
        <v>569.25</v>
      </c>
      <c r="L921">
        <v>0</v>
      </c>
      <c r="M921">
        <v>0.99</v>
      </c>
      <c r="N921">
        <v>185</v>
      </c>
      <c r="O921" t="s">
        <v>27</v>
      </c>
      <c r="P921">
        <v>575</v>
      </c>
    </row>
    <row r="922" spans="1:16" x14ac:dyDescent="0.35">
      <c r="A922">
        <v>208</v>
      </c>
      <c r="B922">
        <v>1982</v>
      </c>
      <c r="C922" t="str">
        <f>IF(book_sales[[#This Row],[Publishing Year]]&lt;1900,"Classic (Before 1900)",IF(book_sales[[#This Row],[Publishing Year]]&lt;2000,"20th Century (1900-1999)","21st Century (2000+)"))</f>
        <v>20th Century (1900-1999)</v>
      </c>
      <c r="D922" t="s">
        <v>408</v>
      </c>
      <c r="E922" t="s">
        <v>74</v>
      </c>
      <c r="F922" t="s">
        <v>23</v>
      </c>
      <c r="G922" t="s">
        <v>24</v>
      </c>
      <c r="H922">
        <v>4.34</v>
      </c>
      <c r="I922">
        <v>105961</v>
      </c>
      <c r="J922" t="s">
        <v>19</v>
      </c>
      <c r="K922">
        <v>5000.45</v>
      </c>
      <c r="L922">
        <v>3000.27</v>
      </c>
      <c r="M922">
        <v>10.99</v>
      </c>
      <c r="N922">
        <v>227</v>
      </c>
      <c r="O922" t="s">
        <v>66</v>
      </c>
      <c r="P922">
        <v>455</v>
      </c>
    </row>
    <row r="923" spans="1:16" x14ac:dyDescent="0.35">
      <c r="A923">
        <v>263</v>
      </c>
      <c r="B923">
        <v>2013</v>
      </c>
      <c r="C923" t="str">
        <f>IF(book_sales[[#This Row],[Publishing Year]]&lt;1900,"Classic (Before 1900)",IF(book_sales[[#This Row],[Publishing Year]]&lt;2000,"20th Century (1900-1999)","21st Century (2000+)"))</f>
        <v>21st Century (2000+)</v>
      </c>
      <c r="D923" t="s">
        <v>502</v>
      </c>
      <c r="E923" t="s">
        <v>74</v>
      </c>
      <c r="F923" t="s">
        <v>23</v>
      </c>
      <c r="G923" t="s">
        <v>24</v>
      </c>
      <c r="H923">
        <v>4.0999999999999996</v>
      </c>
      <c r="I923">
        <v>95276</v>
      </c>
      <c r="J923" t="s">
        <v>19</v>
      </c>
      <c r="K923">
        <v>357.39</v>
      </c>
      <c r="L923">
        <v>214.434</v>
      </c>
      <c r="M923">
        <v>0.99</v>
      </c>
      <c r="N923">
        <v>283</v>
      </c>
      <c r="O923" t="s">
        <v>27</v>
      </c>
      <c r="P923">
        <v>361</v>
      </c>
    </row>
    <row r="924" spans="1:16" x14ac:dyDescent="0.35">
      <c r="A924">
        <v>380</v>
      </c>
      <c r="B924">
        <v>1992</v>
      </c>
      <c r="C924" t="str">
        <f>IF(book_sales[[#This Row],[Publishing Year]]&lt;1900,"Classic (Before 1900)",IF(book_sales[[#This Row],[Publishing Year]]&lt;2000,"20th Century (1900-1999)","21st Century (2000+)"))</f>
        <v>20th Century (1900-1999)</v>
      </c>
      <c r="D924" t="s">
        <v>713</v>
      </c>
      <c r="E924" t="s">
        <v>74</v>
      </c>
      <c r="F924" t="s">
        <v>23</v>
      </c>
      <c r="G924" t="s">
        <v>53</v>
      </c>
      <c r="H924">
        <v>3.47</v>
      </c>
      <c r="I924">
        <v>100158</v>
      </c>
      <c r="J924" t="s">
        <v>30</v>
      </c>
      <c r="K924">
        <v>433.82</v>
      </c>
      <c r="L924">
        <v>260.29199999999997</v>
      </c>
      <c r="M924">
        <v>1.99</v>
      </c>
      <c r="N924">
        <v>413</v>
      </c>
      <c r="O924" t="s">
        <v>27</v>
      </c>
      <c r="P924">
        <v>5886</v>
      </c>
    </row>
    <row r="925" spans="1:16" x14ac:dyDescent="0.35">
      <c r="A925">
        <v>413</v>
      </c>
      <c r="B925">
        <v>1996</v>
      </c>
      <c r="C925" t="str">
        <f>IF(book_sales[[#This Row],[Publishing Year]]&lt;1900,"Classic (Before 1900)",IF(book_sales[[#This Row],[Publishing Year]]&lt;2000,"20th Century (1900-1999)","21st Century (2000+)"))</f>
        <v>20th Century (1900-1999)</v>
      </c>
      <c r="D925" t="s">
        <v>775</v>
      </c>
      <c r="E925" t="s">
        <v>74</v>
      </c>
      <c r="F925" t="s">
        <v>23</v>
      </c>
      <c r="G925" t="s">
        <v>24</v>
      </c>
      <c r="H925">
        <v>3.8</v>
      </c>
      <c r="I925">
        <v>94821</v>
      </c>
      <c r="J925" t="s">
        <v>19</v>
      </c>
      <c r="K925">
        <v>196.02</v>
      </c>
      <c r="L925">
        <v>117.61199999999999</v>
      </c>
      <c r="M925">
        <v>0.99</v>
      </c>
      <c r="N925">
        <v>453</v>
      </c>
      <c r="O925" t="s">
        <v>27</v>
      </c>
      <c r="P925">
        <v>5346</v>
      </c>
    </row>
    <row r="926" spans="1:16" x14ac:dyDescent="0.35">
      <c r="A926">
        <v>422</v>
      </c>
      <c r="B926">
        <v>2004</v>
      </c>
      <c r="C926" t="str">
        <f>IF(book_sales[[#This Row],[Publishing Year]]&lt;1900,"Classic (Before 1900)",IF(book_sales[[#This Row],[Publishing Year]]&lt;2000,"20th Century (1900-1999)","21st Century (2000+)"))</f>
        <v>21st Century (2000+)</v>
      </c>
      <c r="D926" t="s">
        <v>788</v>
      </c>
      <c r="E926" t="s">
        <v>74</v>
      </c>
      <c r="F926" t="s">
        <v>17</v>
      </c>
      <c r="G926" t="s">
        <v>532</v>
      </c>
      <c r="H926">
        <v>4.2699999999999996</v>
      </c>
      <c r="I926">
        <v>93296</v>
      </c>
      <c r="J926" t="s">
        <v>19</v>
      </c>
      <c r="K926">
        <v>770.07</v>
      </c>
      <c r="L926">
        <v>0</v>
      </c>
      <c r="M926">
        <v>3.99</v>
      </c>
      <c r="N926">
        <v>463</v>
      </c>
      <c r="O926" t="s">
        <v>27</v>
      </c>
      <c r="P926">
        <v>5211</v>
      </c>
    </row>
    <row r="927" spans="1:16" x14ac:dyDescent="0.35">
      <c r="A927">
        <v>436</v>
      </c>
      <c r="B927">
        <v>1989</v>
      </c>
      <c r="C927" t="str">
        <f>IF(book_sales[[#This Row],[Publishing Year]]&lt;1900,"Classic (Before 1900)",IF(book_sales[[#This Row],[Publishing Year]]&lt;2000,"20th Century (1900-1999)","21st Century (2000+)"))</f>
        <v>20th Century (1900-1999)</v>
      </c>
      <c r="D927" t="s">
        <v>811</v>
      </c>
      <c r="E927" t="s">
        <v>74</v>
      </c>
      <c r="F927" t="s">
        <v>23</v>
      </c>
      <c r="G927" t="s">
        <v>24</v>
      </c>
      <c r="H927">
        <v>3.74</v>
      </c>
      <c r="I927">
        <v>94624</v>
      </c>
      <c r="J927" t="s">
        <v>19</v>
      </c>
      <c r="K927">
        <v>550.16</v>
      </c>
      <c r="L927">
        <v>330.096</v>
      </c>
      <c r="M927">
        <v>2.99</v>
      </c>
      <c r="N927">
        <v>482</v>
      </c>
      <c r="O927" t="s">
        <v>133</v>
      </c>
      <c r="P927">
        <v>4968</v>
      </c>
    </row>
    <row r="928" spans="1:16" x14ac:dyDescent="0.35">
      <c r="A928">
        <v>455</v>
      </c>
      <c r="B928">
        <v>1999</v>
      </c>
      <c r="C928" t="str">
        <f>IF(book_sales[[#This Row],[Publishing Year]]&lt;1900,"Classic (Before 1900)",IF(book_sales[[#This Row],[Publishing Year]]&lt;2000,"20th Century (1900-1999)","21st Century (2000+)"))</f>
        <v>20th Century (1900-1999)</v>
      </c>
      <c r="D928" t="s">
        <v>842</v>
      </c>
      <c r="E928" t="s">
        <v>74</v>
      </c>
      <c r="G928" t="s">
        <v>24</v>
      </c>
      <c r="H928">
        <v>3.56</v>
      </c>
      <c r="I928">
        <v>95768</v>
      </c>
      <c r="J928" t="s">
        <v>41</v>
      </c>
      <c r="K928">
        <v>1346.76</v>
      </c>
      <c r="L928">
        <v>808.05600000000004</v>
      </c>
      <c r="M928">
        <v>7.74</v>
      </c>
      <c r="N928">
        <v>503</v>
      </c>
      <c r="O928" t="s">
        <v>27</v>
      </c>
      <c r="P928">
        <v>4698</v>
      </c>
    </row>
    <row r="929" spans="1:16" x14ac:dyDescent="0.35">
      <c r="A929">
        <v>592</v>
      </c>
      <c r="B929">
        <v>1985</v>
      </c>
      <c r="C929" t="str">
        <f>IF(book_sales[[#This Row],[Publishing Year]]&lt;1900,"Classic (Before 1900)",IF(book_sales[[#This Row],[Publishing Year]]&lt;2000,"20th Century (1900-1999)","21st Century (2000+)"))</f>
        <v>20th Century (1900-1999)</v>
      </c>
      <c r="D929" t="s">
        <v>1065</v>
      </c>
      <c r="E929" t="s">
        <v>74</v>
      </c>
      <c r="F929" t="s">
        <v>23</v>
      </c>
      <c r="G929" t="s">
        <v>24</v>
      </c>
      <c r="H929">
        <v>3.93</v>
      </c>
      <c r="I929">
        <v>82320</v>
      </c>
      <c r="J929" t="s">
        <v>19</v>
      </c>
      <c r="K929">
        <v>957.72</v>
      </c>
      <c r="L929">
        <v>574.63199999999995</v>
      </c>
      <c r="M929">
        <v>6.94</v>
      </c>
      <c r="N929">
        <v>668</v>
      </c>
      <c r="O929" t="s">
        <v>46</v>
      </c>
      <c r="P929">
        <v>53568</v>
      </c>
    </row>
    <row r="930" spans="1:16" x14ac:dyDescent="0.35">
      <c r="A930">
        <v>608</v>
      </c>
      <c r="B930">
        <v>1987</v>
      </c>
      <c r="C930" t="str">
        <f>IF(book_sales[[#This Row],[Publishing Year]]&lt;1900,"Classic (Before 1900)",IF(book_sales[[#This Row],[Publishing Year]]&lt;2000,"20th Century (1900-1999)","21st Century (2000+)"))</f>
        <v>20th Century (1900-1999)</v>
      </c>
      <c r="D930" t="s">
        <v>1090</v>
      </c>
      <c r="E930" t="s">
        <v>74</v>
      </c>
      <c r="F930" t="s">
        <v>23</v>
      </c>
      <c r="G930" t="s">
        <v>53</v>
      </c>
      <c r="H930">
        <v>3.48</v>
      </c>
      <c r="I930">
        <v>89262</v>
      </c>
      <c r="J930" t="s">
        <v>19</v>
      </c>
      <c r="K930">
        <v>790.68</v>
      </c>
      <c r="L930">
        <v>0</v>
      </c>
      <c r="M930">
        <v>5.99</v>
      </c>
      <c r="N930">
        <v>693</v>
      </c>
      <c r="O930" t="s">
        <v>27</v>
      </c>
      <c r="P930">
        <v>50760</v>
      </c>
    </row>
    <row r="931" spans="1:16" x14ac:dyDescent="0.35">
      <c r="A931">
        <v>651</v>
      </c>
      <c r="B931">
        <v>2013</v>
      </c>
      <c r="C931" t="str">
        <f>IF(book_sales[[#This Row],[Publishing Year]]&lt;1900,"Classic (Before 1900)",IF(book_sales[[#This Row],[Publishing Year]]&lt;2000,"20th Century (1900-1999)","21st Century (2000+)"))</f>
        <v>21st Century (2000+)</v>
      </c>
      <c r="D931" t="s">
        <v>1160</v>
      </c>
      <c r="E931" t="s">
        <v>74</v>
      </c>
      <c r="F931" t="s">
        <v>23</v>
      </c>
      <c r="G931" t="s">
        <v>24</v>
      </c>
      <c r="H931">
        <v>3.9</v>
      </c>
      <c r="I931">
        <v>75018</v>
      </c>
      <c r="J931" t="s">
        <v>19</v>
      </c>
      <c r="K931">
        <v>118.8</v>
      </c>
      <c r="L931">
        <v>0</v>
      </c>
      <c r="M931">
        <v>0.99</v>
      </c>
      <c r="N931">
        <v>746</v>
      </c>
      <c r="O931" t="s">
        <v>27</v>
      </c>
      <c r="P931">
        <v>42768</v>
      </c>
    </row>
    <row r="932" spans="1:16" x14ac:dyDescent="0.35">
      <c r="A932">
        <v>677</v>
      </c>
      <c r="B932">
        <v>1990</v>
      </c>
      <c r="C932" t="str">
        <f>IF(book_sales[[#This Row],[Publishing Year]]&lt;1900,"Classic (Before 1900)",IF(book_sales[[#This Row],[Publishing Year]]&lt;2000,"20th Century (1900-1999)","21st Century (2000+)"))</f>
        <v>20th Century (1900-1999)</v>
      </c>
      <c r="D932" t="s">
        <v>1207</v>
      </c>
      <c r="E932" t="s">
        <v>74</v>
      </c>
      <c r="F932" t="s">
        <v>92</v>
      </c>
      <c r="G932" t="s">
        <v>24</v>
      </c>
      <c r="H932">
        <v>3.9</v>
      </c>
      <c r="I932">
        <v>76376</v>
      </c>
      <c r="J932" t="s">
        <v>41</v>
      </c>
      <c r="K932">
        <v>640.22</v>
      </c>
      <c r="L932">
        <v>384.13200000000001</v>
      </c>
      <c r="M932">
        <v>5.38</v>
      </c>
      <c r="N932">
        <v>779</v>
      </c>
      <c r="O932" t="s">
        <v>20</v>
      </c>
      <c r="P932">
        <v>37368</v>
      </c>
    </row>
    <row r="933" spans="1:16" x14ac:dyDescent="0.35">
      <c r="A933">
        <v>730</v>
      </c>
      <c r="B933">
        <v>1987</v>
      </c>
      <c r="C933" t="str">
        <f>IF(book_sales[[#This Row],[Publishing Year]]&lt;1900,"Classic (Before 1900)",IF(book_sales[[#This Row],[Publishing Year]]&lt;2000,"20th Century (1900-1999)","21st Century (2000+)"))</f>
        <v>20th Century (1900-1999)</v>
      </c>
      <c r="D933" t="s">
        <v>1289</v>
      </c>
      <c r="E933" t="s">
        <v>74</v>
      </c>
      <c r="F933" t="s">
        <v>23</v>
      </c>
      <c r="G933" t="s">
        <v>24</v>
      </c>
      <c r="H933">
        <v>3.92</v>
      </c>
      <c r="I933">
        <v>72714</v>
      </c>
      <c r="J933" t="s">
        <v>41</v>
      </c>
      <c r="K933">
        <v>700.83</v>
      </c>
      <c r="L933">
        <v>420.49799999999999</v>
      </c>
      <c r="M933">
        <v>5.99</v>
      </c>
      <c r="N933">
        <v>837</v>
      </c>
      <c r="O933" t="s">
        <v>20</v>
      </c>
      <c r="P933">
        <v>33264</v>
      </c>
    </row>
    <row r="934" spans="1:16" x14ac:dyDescent="0.35">
      <c r="A934">
        <v>808</v>
      </c>
      <c r="B934">
        <v>1980</v>
      </c>
      <c r="C934" t="str">
        <f>IF(book_sales[[#This Row],[Publishing Year]]&lt;1900,"Classic (Before 1900)",IF(book_sales[[#This Row],[Publishing Year]]&lt;2000,"20th Century (1900-1999)","21st Century (2000+)"))</f>
        <v>20th Century (1900-1999)</v>
      </c>
      <c r="D934" t="s">
        <v>1416</v>
      </c>
      <c r="E934" t="s">
        <v>74</v>
      </c>
      <c r="F934" t="s">
        <v>17</v>
      </c>
      <c r="G934" t="s">
        <v>24</v>
      </c>
      <c r="H934">
        <v>3.92</v>
      </c>
      <c r="I934">
        <v>82062</v>
      </c>
      <c r="J934" t="s">
        <v>41</v>
      </c>
      <c r="K934">
        <v>340.86</v>
      </c>
      <c r="L934">
        <v>204.51599999999999</v>
      </c>
      <c r="M934">
        <v>2.99</v>
      </c>
      <c r="N934">
        <v>943</v>
      </c>
      <c r="O934" t="s">
        <v>27</v>
      </c>
      <c r="P934">
        <v>2916</v>
      </c>
    </row>
    <row r="935" spans="1:16" x14ac:dyDescent="0.35">
      <c r="A935">
        <v>816</v>
      </c>
      <c r="B935">
        <v>2014</v>
      </c>
      <c r="C935" t="str">
        <f>IF(book_sales[[#This Row],[Publishing Year]]&lt;1900,"Classic (Before 1900)",IF(book_sales[[#This Row],[Publishing Year]]&lt;2000,"20th Century (1900-1999)","21st Century (2000+)"))</f>
        <v>21st Century (2000+)</v>
      </c>
      <c r="D935" t="s">
        <v>1425</v>
      </c>
      <c r="E935" t="s">
        <v>74</v>
      </c>
      <c r="F935" t="s">
        <v>17</v>
      </c>
      <c r="G935" t="s">
        <v>24</v>
      </c>
      <c r="H935">
        <v>3.75</v>
      </c>
      <c r="I935">
        <v>53662</v>
      </c>
      <c r="J935" t="s">
        <v>19</v>
      </c>
      <c r="K935">
        <v>568.86</v>
      </c>
      <c r="L935">
        <v>0</v>
      </c>
      <c r="M935">
        <v>4.99</v>
      </c>
      <c r="N935">
        <v>953</v>
      </c>
      <c r="O935" t="s">
        <v>27</v>
      </c>
      <c r="P935">
        <v>2916</v>
      </c>
    </row>
    <row r="936" spans="1:16" x14ac:dyDescent="0.35">
      <c r="A936">
        <v>829</v>
      </c>
      <c r="B936">
        <v>2008</v>
      </c>
      <c r="C936" t="str">
        <f>IF(book_sales[[#This Row],[Publishing Year]]&lt;1900,"Classic (Before 1900)",IF(book_sales[[#This Row],[Publishing Year]]&lt;2000,"20th Century (1900-1999)","21st Century (2000+)"))</f>
        <v>21st Century (2000+)</v>
      </c>
      <c r="D936" t="s">
        <v>1440</v>
      </c>
      <c r="E936" t="s">
        <v>74</v>
      </c>
      <c r="F936" t="s">
        <v>17</v>
      </c>
      <c r="G936" t="s">
        <v>24</v>
      </c>
      <c r="H936">
        <v>3.93</v>
      </c>
      <c r="I936">
        <v>73807</v>
      </c>
      <c r="J936" t="s">
        <v>19</v>
      </c>
      <c r="K936">
        <v>844.74</v>
      </c>
      <c r="L936">
        <v>506.84399999999999</v>
      </c>
      <c r="M936">
        <v>7.41</v>
      </c>
      <c r="N936">
        <v>969</v>
      </c>
      <c r="O936" t="s">
        <v>133</v>
      </c>
      <c r="P936">
        <v>2889</v>
      </c>
    </row>
    <row r="937" spans="1:16" x14ac:dyDescent="0.35">
      <c r="A937">
        <v>892</v>
      </c>
      <c r="B937">
        <v>1995</v>
      </c>
      <c r="C937" t="str">
        <f>IF(book_sales[[#This Row],[Publishing Year]]&lt;1900,"Classic (Before 1900)",IF(book_sales[[#This Row],[Publishing Year]]&lt;2000,"20th Century (1900-1999)","21st Century (2000+)"))</f>
        <v>20th Century (1900-1999)</v>
      </c>
      <c r="D937" t="s">
        <v>1531</v>
      </c>
      <c r="E937" t="s">
        <v>74</v>
      </c>
      <c r="F937" t="s">
        <v>23</v>
      </c>
      <c r="G937" t="s">
        <v>24</v>
      </c>
      <c r="H937">
        <v>3.66</v>
      </c>
      <c r="I937">
        <v>70921</v>
      </c>
      <c r="J937" t="s">
        <v>19</v>
      </c>
      <c r="K937">
        <v>222.88</v>
      </c>
      <c r="L937">
        <v>133.72800000000001</v>
      </c>
      <c r="M937">
        <v>1.99</v>
      </c>
      <c r="N937">
        <v>1049</v>
      </c>
      <c r="O937" t="s">
        <v>66</v>
      </c>
      <c r="P937">
        <v>4400</v>
      </c>
    </row>
    <row r="938" spans="1:16" x14ac:dyDescent="0.35">
      <c r="A938">
        <v>959</v>
      </c>
      <c r="B938">
        <v>2015</v>
      </c>
      <c r="C938" t="str">
        <f>IF(book_sales[[#This Row],[Publishing Year]]&lt;1900,"Classic (Before 1900)",IF(book_sales[[#This Row],[Publishing Year]]&lt;2000,"20th Century (1900-1999)","21st Century (2000+)"))</f>
        <v>21st Century (2000+)</v>
      </c>
      <c r="D938" t="s">
        <v>1635</v>
      </c>
      <c r="E938" t="s">
        <v>74</v>
      </c>
      <c r="F938" t="s">
        <v>23</v>
      </c>
      <c r="G938" t="s">
        <v>532</v>
      </c>
      <c r="H938">
        <v>4.03</v>
      </c>
      <c r="I938">
        <v>36541</v>
      </c>
      <c r="J938" t="s">
        <v>30</v>
      </c>
      <c r="K938">
        <v>107.91</v>
      </c>
      <c r="L938">
        <v>0</v>
      </c>
      <c r="M938">
        <v>0.99</v>
      </c>
      <c r="N938">
        <v>1131</v>
      </c>
      <c r="O938" t="s">
        <v>27</v>
      </c>
      <c r="P938">
        <v>4280</v>
      </c>
    </row>
    <row r="939" spans="1:16" x14ac:dyDescent="0.35">
      <c r="A939">
        <v>967</v>
      </c>
      <c r="B939">
        <v>1999</v>
      </c>
      <c r="C939" t="str">
        <f>IF(book_sales[[#This Row],[Publishing Year]]&lt;1900,"Classic (Before 1900)",IF(book_sales[[#This Row],[Publishing Year]]&lt;2000,"20th Century (1900-1999)","21st Century (2000+)"))</f>
        <v>20th Century (1900-1999)</v>
      </c>
      <c r="D939" t="s">
        <v>1650</v>
      </c>
      <c r="E939" t="s">
        <v>74</v>
      </c>
      <c r="F939" t="s">
        <v>23</v>
      </c>
      <c r="G939" t="s">
        <v>24</v>
      </c>
      <c r="H939">
        <v>3.8</v>
      </c>
      <c r="I939">
        <v>65063</v>
      </c>
      <c r="J939" t="s">
        <v>19</v>
      </c>
      <c r="K939">
        <v>216.91</v>
      </c>
      <c r="L939">
        <v>130.14599999999999</v>
      </c>
      <c r="M939">
        <v>1.99</v>
      </c>
      <c r="N939">
        <v>1142</v>
      </c>
      <c r="O939" t="s">
        <v>133</v>
      </c>
      <c r="P939">
        <v>4240</v>
      </c>
    </row>
    <row r="940" spans="1:16" x14ac:dyDescent="0.35">
      <c r="A940">
        <v>1045</v>
      </c>
      <c r="B940">
        <v>2010</v>
      </c>
      <c r="C940" t="str">
        <f>IF(book_sales[[#This Row],[Publishing Year]]&lt;1900,"Classic (Before 1900)",IF(book_sales[[#This Row],[Publishing Year]]&lt;2000,"20th Century (1900-1999)","21st Century (2000+)"))</f>
        <v>21st Century (2000+)</v>
      </c>
      <c r="D940" t="s">
        <v>1767</v>
      </c>
      <c r="E940" t="s">
        <v>74</v>
      </c>
      <c r="F940" t="s">
        <v>17</v>
      </c>
      <c r="G940" t="s">
        <v>532</v>
      </c>
      <c r="H940">
        <v>4.03</v>
      </c>
      <c r="I940">
        <v>60672</v>
      </c>
      <c r="J940" t="s">
        <v>19</v>
      </c>
      <c r="K940">
        <v>640.92999999999995</v>
      </c>
      <c r="L940">
        <v>384.55799999999999</v>
      </c>
      <c r="M940">
        <v>5.99</v>
      </c>
      <c r="N940">
        <v>1236</v>
      </c>
      <c r="O940" t="s">
        <v>46</v>
      </c>
      <c r="P940">
        <v>107</v>
      </c>
    </row>
    <row r="941" spans="1:16" x14ac:dyDescent="0.35">
      <c r="A941">
        <v>1058</v>
      </c>
      <c r="B941">
        <v>2002</v>
      </c>
      <c r="C941" t="str">
        <f>IF(book_sales[[#This Row],[Publishing Year]]&lt;1900,"Classic (Before 1900)",IF(book_sales[[#This Row],[Publishing Year]]&lt;2000,"20th Century (1900-1999)","21st Century (2000+)"))</f>
        <v>21st Century (2000+)</v>
      </c>
      <c r="D941" t="s">
        <v>1788</v>
      </c>
      <c r="E941" t="s">
        <v>74</v>
      </c>
      <c r="F941" t="s">
        <v>23</v>
      </c>
      <c r="G941" t="s">
        <v>24</v>
      </c>
      <c r="H941">
        <v>3.94</v>
      </c>
      <c r="I941">
        <v>60932</v>
      </c>
      <c r="J941" t="s">
        <v>30</v>
      </c>
      <c r="K941">
        <v>316.94</v>
      </c>
      <c r="L941">
        <v>190.16399999999999</v>
      </c>
      <c r="M941">
        <v>2.99</v>
      </c>
      <c r="N941">
        <v>1255</v>
      </c>
      <c r="O941" t="s">
        <v>27</v>
      </c>
      <c r="P941">
        <v>106</v>
      </c>
    </row>
    <row r="942" spans="1:16" x14ac:dyDescent="0.35">
      <c r="A942">
        <v>405</v>
      </c>
      <c r="B942">
        <v>2003</v>
      </c>
      <c r="C942" t="str">
        <f>IF(book_sales[[#This Row],[Publishing Year]]&lt;1900,"Classic (Before 1900)",IF(book_sales[[#This Row],[Publishing Year]]&lt;2000,"20th Century (1900-1999)","21st Century (2000+)"))</f>
        <v>21st Century (2000+)</v>
      </c>
      <c r="D942" t="s">
        <v>761</v>
      </c>
      <c r="E942" t="s">
        <v>762</v>
      </c>
      <c r="F942" t="s">
        <v>23</v>
      </c>
      <c r="G942" t="s">
        <v>532</v>
      </c>
      <c r="H942">
        <v>4.17</v>
      </c>
      <c r="I942">
        <v>98182</v>
      </c>
      <c r="J942" t="s">
        <v>19</v>
      </c>
      <c r="K942">
        <v>603.98</v>
      </c>
      <c r="L942">
        <v>0</v>
      </c>
      <c r="M942">
        <v>2.99</v>
      </c>
      <c r="N942">
        <v>445</v>
      </c>
      <c r="O942" t="s">
        <v>27</v>
      </c>
      <c r="P942">
        <v>5454</v>
      </c>
    </row>
    <row r="943" spans="1:16" x14ac:dyDescent="0.35">
      <c r="A943">
        <v>384</v>
      </c>
      <c r="B943">
        <v>1994</v>
      </c>
      <c r="C943" t="str">
        <f>IF(book_sales[[#This Row],[Publishing Year]]&lt;1900,"Classic (Before 1900)",IF(book_sales[[#This Row],[Publishing Year]]&lt;2000,"20th Century (1900-1999)","21st Century (2000+)"))</f>
        <v>20th Century (1900-1999)</v>
      </c>
      <c r="D943" t="s">
        <v>720</v>
      </c>
      <c r="E943" t="s">
        <v>721</v>
      </c>
      <c r="F943" t="s">
        <v>78</v>
      </c>
      <c r="G943" t="s">
        <v>24</v>
      </c>
      <c r="H943">
        <v>3.79</v>
      </c>
      <c r="I943">
        <v>100972</v>
      </c>
      <c r="J943" t="s">
        <v>19</v>
      </c>
      <c r="K943">
        <v>2311.0500000000002</v>
      </c>
      <c r="L943">
        <v>1386.63</v>
      </c>
      <c r="M943">
        <v>10.65</v>
      </c>
      <c r="N943">
        <v>416</v>
      </c>
      <c r="O943" t="s">
        <v>46</v>
      </c>
      <c r="P943">
        <v>5859</v>
      </c>
    </row>
    <row r="944" spans="1:16" x14ac:dyDescent="0.35">
      <c r="A944">
        <v>522</v>
      </c>
      <c r="B944">
        <v>2004</v>
      </c>
      <c r="C944" t="str">
        <f>IF(book_sales[[#This Row],[Publishing Year]]&lt;1900,"Classic (Before 1900)",IF(book_sales[[#This Row],[Publishing Year]]&lt;2000,"20th Century (1900-1999)","21st Century (2000+)"))</f>
        <v>21st Century (2000+)</v>
      </c>
      <c r="D944" t="s">
        <v>950</v>
      </c>
      <c r="E944" t="s">
        <v>951</v>
      </c>
      <c r="F944" t="s">
        <v>23</v>
      </c>
      <c r="G944" t="s">
        <v>24</v>
      </c>
      <c r="H944">
        <v>3.98</v>
      </c>
      <c r="I944">
        <v>84957</v>
      </c>
      <c r="J944" t="s">
        <v>19</v>
      </c>
      <c r="K944">
        <v>469.43</v>
      </c>
      <c r="L944">
        <v>0</v>
      </c>
      <c r="M944">
        <v>2.99</v>
      </c>
      <c r="N944">
        <v>578</v>
      </c>
      <c r="O944" t="s">
        <v>27</v>
      </c>
      <c r="P944">
        <v>4239</v>
      </c>
    </row>
    <row r="945" spans="1:16" x14ac:dyDescent="0.35">
      <c r="A945">
        <v>275</v>
      </c>
      <c r="B945">
        <v>1997</v>
      </c>
      <c r="C945" t="str">
        <f>IF(book_sales[[#This Row],[Publishing Year]]&lt;1900,"Classic (Before 1900)",IF(book_sales[[#This Row],[Publishing Year]]&lt;2000,"20th Century (1900-1999)","21st Century (2000+)"))</f>
        <v>20th Century (1900-1999)</v>
      </c>
      <c r="D945" t="s">
        <v>522</v>
      </c>
      <c r="E945" t="s">
        <v>523</v>
      </c>
      <c r="F945" t="s">
        <v>23</v>
      </c>
      <c r="G945" t="s">
        <v>24</v>
      </c>
      <c r="H945">
        <v>4.24</v>
      </c>
      <c r="I945">
        <v>105026</v>
      </c>
      <c r="J945" t="s">
        <v>30</v>
      </c>
      <c r="K945">
        <v>1019.59</v>
      </c>
      <c r="L945">
        <v>611.75400000000002</v>
      </c>
      <c r="M945">
        <v>2.99</v>
      </c>
      <c r="N945">
        <v>295</v>
      </c>
      <c r="O945" t="s">
        <v>66</v>
      </c>
      <c r="P945">
        <v>341</v>
      </c>
    </row>
    <row r="946" spans="1:16" x14ac:dyDescent="0.35">
      <c r="A946">
        <v>544</v>
      </c>
      <c r="B946">
        <v>1992</v>
      </c>
      <c r="C946" t="str">
        <f>IF(book_sales[[#This Row],[Publishing Year]]&lt;1900,"Classic (Before 1900)",IF(book_sales[[#This Row],[Publishing Year]]&lt;2000,"20th Century (1900-1999)","21st Century (2000+)"))</f>
        <v>20th Century (1900-1999)</v>
      </c>
      <c r="D946" t="s">
        <v>985</v>
      </c>
      <c r="E946" t="s">
        <v>986</v>
      </c>
      <c r="F946" t="s">
        <v>120</v>
      </c>
      <c r="G946" t="s">
        <v>24</v>
      </c>
      <c r="H946">
        <v>3.81</v>
      </c>
      <c r="I946">
        <v>71053</v>
      </c>
      <c r="J946" t="s">
        <v>19</v>
      </c>
      <c r="K946">
        <v>661.38</v>
      </c>
      <c r="L946">
        <v>396.82799999999997</v>
      </c>
      <c r="M946">
        <v>4.38</v>
      </c>
      <c r="N946">
        <v>608</v>
      </c>
      <c r="O946" t="s">
        <v>27</v>
      </c>
      <c r="P946">
        <v>4077</v>
      </c>
    </row>
    <row r="947" spans="1:16" x14ac:dyDescent="0.35">
      <c r="A947">
        <v>761</v>
      </c>
      <c r="B947">
        <v>2005</v>
      </c>
      <c r="C947" t="str">
        <f>IF(book_sales[[#This Row],[Publishing Year]]&lt;1900,"Classic (Before 1900)",IF(book_sales[[#This Row],[Publishing Year]]&lt;2000,"20th Century (1900-1999)","21st Century (2000+)"))</f>
        <v>21st Century (2000+)</v>
      </c>
      <c r="D947" t="s">
        <v>1336</v>
      </c>
      <c r="E947" t="s">
        <v>1337</v>
      </c>
      <c r="F947" t="s">
        <v>23</v>
      </c>
      <c r="G947" t="s">
        <v>532</v>
      </c>
      <c r="H947">
        <v>4.25</v>
      </c>
      <c r="I947">
        <v>72797</v>
      </c>
      <c r="J947" t="s">
        <v>19</v>
      </c>
      <c r="K947">
        <v>770.24</v>
      </c>
      <c r="L947">
        <v>462.14400000000001</v>
      </c>
      <c r="M947">
        <v>6.64</v>
      </c>
      <c r="N947">
        <v>879</v>
      </c>
      <c r="O947" t="s">
        <v>31</v>
      </c>
      <c r="P947">
        <v>30672</v>
      </c>
    </row>
    <row r="948" spans="1:16" x14ac:dyDescent="0.35">
      <c r="A948">
        <v>334</v>
      </c>
      <c r="B948">
        <v>1978</v>
      </c>
      <c r="C948" t="str">
        <f>IF(book_sales[[#This Row],[Publishing Year]]&lt;1900,"Classic (Before 1900)",IF(book_sales[[#This Row],[Publishing Year]]&lt;2000,"20th Century (1900-1999)","21st Century (2000+)"))</f>
        <v>20th Century (1900-1999)</v>
      </c>
      <c r="D948" t="s">
        <v>632</v>
      </c>
      <c r="E948" t="s">
        <v>633</v>
      </c>
      <c r="F948" t="s">
        <v>92</v>
      </c>
      <c r="G948" t="s">
        <v>24</v>
      </c>
      <c r="H948">
        <v>3.96</v>
      </c>
      <c r="I948">
        <v>104248</v>
      </c>
      <c r="J948" t="s">
        <v>19</v>
      </c>
      <c r="K948">
        <v>244.53</v>
      </c>
      <c r="L948">
        <v>146.71799999999999</v>
      </c>
      <c r="M948">
        <v>0.99</v>
      </c>
      <c r="N948">
        <v>356</v>
      </c>
      <c r="O948" t="s">
        <v>27</v>
      </c>
      <c r="P948">
        <v>247</v>
      </c>
    </row>
    <row r="949" spans="1:16" x14ac:dyDescent="0.35">
      <c r="A949">
        <v>47</v>
      </c>
      <c r="B949">
        <v>1983</v>
      </c>
      <c r="C949" t="str">
        <f>IF(book_sales[[#This Row],[Publishing Year]]&lt;1900,"Classic (Before 1900)",IF(book_sales[[#This Row],[Publishing Year]]&lt;2000,"20th Century (1900-1999)","21st Century (2000+)"))</f>
        <v>20th Century (1900-1999)</v>
      </c>
      <c r="D949" t="s">
        <v>118</v>
      </c>
      <c r="E949" t="s">
        <v>119</v>
      </c>
      <c r="F949" t="s">
        <v>120</v>
      </c>
      <c r="G949" t="s">
        <v>24</v>
      </c>
      <c r="H949">
        <v>3.72</v>
      </c>
      <c r="I949">
        <v>151160</v>
      </c>
      <c r="J949" t="s">
        <v>41</v>
      </c>
      <c r="K949">
        <v>1766.16</v>
      </c>
      <c r="L949">
        <v>1059.6959999999999</v>
      </c>
      <c r="M949">
        <v>0.99</v>
      </c>
      <c r="N949">
        <v>49</v>
      </c>
      <c r="O949" t="s">
        <v>27</v>
      </c>
      <c r="P949">
        <v>1784</v>
      </c>
    </row>
    <row r="950" spans="1:16" x14ac:dyDescent="0.35">
      <c r="A950">
        <v>194</v>
      </c>
      <c r="B950">
        <v>1991</v>
      </c>
      <c r="C950" t="str">
        <f>IF(book_sales[[#This Row],[Publishing Year]]&lt;1900,"Classic (Before 1900)",IF(book_sales[[#This Row],[Publishing Year]]&lt;2000,"20th Century (1900-1999)","21st Century (2000+)"))</f>
        <v>20th Century (1900-1999)</v>
      </c>
      <c r="D950" t="s">
        <v>380</v>
      </c>
      <c r="E950" t="s">
        <v>381</v>
      </c>
      <c r="F950" t="s">
        <v>23</v>
      </c>
      <c r="G950" t="s">
        <v>24</v>
      </c>
      <c r="H950">
        <v>4.24</v>
      </c>
      <c r="I950">
        <v>117483</v>
      </c>
      <c r="J950" t="s">
        <v>19</v>
      </c>
      <c r="K950">
        <v>1429.22</v>
      </c>
      <c r="L950">
        <v>0</v>
      </c>
      <c r="M950">
        <v>2.99</v>
      </c>
      <c r="N950">
        <v>213</v>
      </c>
      <c r="O950" t="s">
        <v>27</v>
      </c>
      <c r="P950">
        <v>478</v>
      </c>
    </row>
    <row r="951" spans="1:16" x14ac:dyDescent="0.35">
      <c r="A951">
        <v>717</v>
      </c>
      <c r="B951">
        <v>1984</v>
      </c>
      <c r="C951" t="str">
        <f>IF(book_sales[[#This Row],[Publishing Year]]&lt;1900,"Classic (Before 1900)",IF(book_sales[[#This Row],[Publishing Year]]&lt;2000,"20th Century (1900-1999)","21st Century (2000+)"))</f>
        <v>20th Century (1900-1999)</v>
      </c>
      <c r="D951" t="s">
        <v>1267</v>
      </c>
      <c r="E951" t="s">
        <v>1268</v>
      </c>
      <c r="F951" t="s">
        <v>17</v>
      </c>
      <c r="G951" t="s">
        <v>532</v>
      </c>
      <c r="H951">
        <v>4.12</v>
      </c>
      <c r="I951">
        <v>79508</v>
      </c>
      <c r="J951" t="s">
        <v>41</v>
      </c>
      <c r="K951">
        <v>234.82</v>
      </c>
      <c r="L951">
        <v>140.892</v>
      </c>
      <c r="M951">
        <v>1.99</v>
      </c>
      <c r="N951">
        <v>823</v>
      </c>
      <c r="O951" t="s">
        <v>27</v>
      </c>
      <c r="P951">
        <v>34776</v>
      </c>
    </row>
    <row r="952" spans="1:16" x14ac:dyDescent="0.35">
      <c r="A952">
        <v>287</v>
      </c>
      <c r="B952">
        <v>2001</v>
      </c>
      <c r="C952" t="str">
        <f>IF(book_sales[[#This Row],[Publishing Year]]&lt;1900,"Classic (Before 1900)",IF(book_sales[[#This Row],[Publishing Year]]&lt;2000,"20th Century (1900-1999)","21st Century (2000+)"))</f>
        <v>21st Century (2000+)</v>
      </c>
      <c r="D952" t="s">
        <v>546</v>
      </c>
      <c r="E952" t="s">
        <v>547</v>
      </c>
      <c r="F952" t="s">
        <v>120</v>
      </c>
      <c r="G952" t="s">
        <v>24</v>
      </c>
      <c r="H952">
        <v>3.59</v>
      </c>
      <c r="I952">
        <v>115855</v>
      </c>
      <c r="J952" t="s">
        <v>19</v>
      </c>
      <c r="K952">
        <v>1576.84</v>
      </c>
      <c r="L952">
        <v>0</v>
      </c>
      <c r="M952">
        <v>4.99</v>
      </c>
      <c r="N952">
        <v>310</v>
      </c>
      <c r="O952" t="s">
        <v>27</v>
      </c>
      <c r="P952">
        <v>316</v>
      </c>
    </row>
    <row r="953" spans="1:16" x14ac:dyDescent="0.35">
      <c r="A953">
        <v>201</v>
      </c>
      <c r="B953">
        <v>2009</v>
      </c>
      <c r="C953" t="str">
        <f>IF(book_sales[[#This Row],[Publishing Year]]&lt;1900,"Classic (Before 1900)",IF(book_sales[[#This Row],[Publishing Year]]&lt;2000,"20th Century (1900-1999)","21st Century (2000+)"))</f>
        <v>21st Century (2000+)</v>
      </c>
      <c r="D953" t="s">
        <v>394</v>
      </c>
      <c r="E953" t="s">
        <v>395</v>
      </c>
      <c r="F953" t="s">
        <v>23</v>
      </c>
      <c r="G953" t="s">
        <v>24</v>
      </c>
      <c r="H953">
        <v>3.51</v>
      </c>
      <c r="I953">
        <v>145874</v>
      </c>
      <c r="J953" t="s">
        <v>19</v>
      </c>
      <c r="K953">
        <v>461.34</v>
      </c>
      <c r="L953">
        <v>0</v>
      </c>
      <c r="M953">
        <v>0.99</v>
      </c>
      <c r="N953">
        <v>220</v>
      </c>
      <c r="O953" t="s">
        <v>27</v>
      </c>
      <c r="P953">
        <v>466</v>
      </c>
    </row>
    <row r="954" spans="1:16" x14ac:dyDescent="0.35">
      <c r="A954">
        <v>303</v>
      </c>
      <c r="B954">
        <v>2008</v>
      </c>
      <c r="C954" t="str">
        <f>IF(book_sales[[#This Row],[Publishing Year]]&lt;1900,"Classic (Before 1900)",IF(book_sales[[#This Row],[Publishing Year]]&lt;2000,"20th Century (1900-1999)","21st Century (2000+)"))</f>
        <v>21st Century (2000+)</v>
      </c>
      <c r="D954" t="s">
        <v>575</v>
      </c>
      <c r="E954" t="s">
        <v>395</v>
      </c>
      <c r="F954" t="s">
        <v>23</v>
      </c>
      <c r="G954" t="s">
        <v>532</v>
      </c>
      <c r="H954">
        <v>4.03</v>
      </c>
      <c r="I954">
        <v>138118</v>
      </c>
      <c r="J954" t="s">
        <v>19</v>
      </c>
      <c r="K954">
        <v>290.07</v>
      </c>
      <c r="L954">
        <v>0</v>
      </c>
      <c r="M954">
        <v>0.99</v>
      </c>
      <c r="N954">
        <v>324</v>
      </c>
      <c r="O954" t="s">
        <v>27</v>
      </c>
      <c r="P954">
        <v>293</v>
      </c>
    </row>
    <row r="955" spans="1:16" x14ac:dyDescent="0.35">
      <c r="A955">
        <v>461</v>
      </c>
      <c r="B955">
        <v>2005</v>
      </c>
      <c r="C955" t="str">
        <f>IF(book_sales[[#This Row],[Publishing Year]]&lt;1900,"Classic (Before 1900)",IF(book_sales[[#This Row],[Publishing Year]]&lt;2000,"20th Century (1900-1999)","21st Century (2000+)"))</f>
        <v>21st Century (2000+)</v>
      </c>
      <c r="D955" t="s">
        <v>851</v>
      </c>
      <c r="E955" t="s">
        <v>852</v>
      </c>
      <c r="G955" t="s">
        <v>24</v>
      </c>
      <c r="H955">
        <v>3.88</v>
      </c>
      <c r="I955">
        <v>89204</v>
      </c>
      <c r="J955" t="s">
        <v>19</v>
      </c>
      <c r="K955">
        <v>1632.28</v>
      </c>
      <c r="L955">
        <v>979.36800000000005</v>
      </c>
      <c r="M955">
        <v>9.49</v>
      </c>
      <c r="N955">
        <v>513</v>
      </c>
      <c r="O955" t="s">
        <v>34</v>
      </c>
      <c r="P955">
        <v>4644</v>
      </c>
    </row>
    <row r="956" spans="1:16" x14ac:dyDescent="0.35">
      <c r="A956">
        <v>963</v>
      </c>
      <c r="B956">
        <v>2007</v>
      </c>
      <c r="C956" t="str">
        <f>IF(book_sales[[#This Row],[Publishing Year]]&lt;1900,"Classic (Before 1900)",IF(book_sales[[#This Row],[Publishing Year]]&lt;2000,"20th Century (1900-1999)","21st Century (2000+)"))</f>
        <v>21st Century (2000+)</v>
      </c>
      <c r="D956" t="s">
        <v>1642</v>
      </c>
      <c r="E956" t="s">
        <v>1643</v>
      </c>
      <c r="F956" t="s">
        <v>23</v>
      </c>
      <c r="G956" t="s">
        <v>24</v>
      </c>
      <c r="H956">
        <v>3.87</v>
      </c>
      <c r="I956">
        <v>60869</v>
      </c>
      <c r="J956" t="s">
        <v>41</v>
      </c>
      <c r="K956">
        <v>107.91</v>
      </c>
      <c r="L956">
        <v>64.745999999999995</v>
      </c>
      <c r="M956">
        <v>0.99</v>
      </c>
      <c r="N956">
        <v>1137</v>
      </c>
      <c r="O956" t="s">
        <v>27</v>
      </c>
      <c r="P956">
        <v>4280</v>
      </c>
    </row>
    <row r="957" spans="1:16" x14ac:dyDescent="0.35">
      <c r="A957">
        <v>538</v>
      </c>
      <c r="B957">
        <v>2009</v>
      </c>
      <c r="C957" t="str">
        <f>IF(book_sales[[#This Row],[Publishing Year]]&lt;1900,"Classic (Before 1900)",IF(book_sales[[#This Row],[Publishing Year]]&lt;2000,"20th Century (1900-1999)","21st Century (2000+)"))</f>
        <v>21st Century (2000+)</v>
      </c>
      <c r="D957" t="s">
        <v>974</v>
      </c>
      <c r="E957" t="s">
        <v>975</v>
      </c>
      <c r="F957" t="s">
        <v>17</v>
      </c>
      <c r="G957" t="s">
        <v>24</v>
      </c>
      <c r="H957">
        <v>3.95</v>
      </c>
      <c r="I957">
        <v>85006</v>
      </c>
      <c r="J957" t="s">
        <v>19</v>
      </c>
      <c r="K957">
        <v>1176.57</v>
      </c>
      <c r="L957">
        <v>705.94200000000001</v>
      </c>
      <c r="M957">
        <v>7.69</v>
      </c>
      <c r="N957">
        <v>600</v>
      </c>
      <c r="O957" t="s">
        <v>34</v>
      </c>
      <c r="P957">
        <v>4131</v>
      </c>
    </row>
    <row r="958" spans="1:16" x14ac:dyDescent="0.35">
      <c r="A958">
        <v>997</v>
      </c>
      <c r="B958">
        <v>1999</v>
      </c>
      <c r="C958" t="str">
        <f>IF(book_sales[[#This Row],[Publishing Year]]&lt;1900,"Classic (Before 1900)",IF(book_sales[[#This Row],[Publishing Year]]&lt;2000,"20th Century (1900-1999)","21st Century (2000+)"))</f>
        <v>20th Century (1900-1999)</v>
      </c>
      <c r="D958" t="s">
        <v>1695</v>
      </c>
      <c r="E958" t="s">
        <v>1696</v>
      </c>
      <c r="F958" t="s">
        <v>23</v>
      </c>
      <c r="G958" t="s">
        <v>24</v>
      </c>
      <c r="H958">
        <v>3.85</v>
      </c>
      <c r="I958">
        <v>57993</v>
      </c>
      <c r="J958" t="s">
        <v>19</v>
      </c>
      <c r="K958">
        <v>430.92</v>
      </c>
      <c r="L958">
        <v>0</v>
      </c>
      <c r="M958">
        <v>3.99</v>
      </c>
      <c r="N958">
        <v>1175</v>
      </c>
      <c r="O958" t="s">
        <v>27</v>
      </c>
      <c r="P958">
        <v>108</v>
      </c>
    </row>
    <row r="959" spans="1:16" x14ac:dyDescent="0.35">
      <c r="A959">
        <v>292</v>
      </c>
      <c r="B959">
        <v>1982</v>
      </c>
      <c r="C959" t="str">
        <f>IF(book_sales[[#This Row],[Publishing Year]]&lt;1900,"Classic (Before 1900)",IF(book_sales[[#This Row],[Publishing Year]]&lt;2000,"20th Century (1900-1999)","21st Century (2000+)"))</f>
        <v>20th Century (1900-1999)</v>
      </c>
      <c r="D959" t="s">
        <v>555</v>
      </c>
      <c r="E959" t="s">
        <v>556</v>
      </c>
      <c r="F959" t="s">
        <v>17</v>
      </c>
      <c r="G959" t="s">
        <v>24</v>
      </c>
      <c r="H959">
        <v>3.82</v>
      </c>
      <c r="I959">
        <v>116026</v>
      </c>
      <c r="J959" t="s">
        <v>19</v>
      </c>
      <c r="K959">
        <v>616.9</v>
      </c>
      <c r="L959">
        <v>370.14</v>
      </c>
      <c r="M959">
        <v>1.99</v>
      </c>
      <c r="N959">
        <v>314</v>
      </c>
      <c r="O959" t="s">
        <v>27</v>
      </c>
      <c r="P959">
        <v>310</v>
      </c>
    </row>
    <row r="960" spans="1:16" x14ac:dyDescent="0.35">
      <c r="A960">
        <v>1016</v>
      </c>
      <c r="B960">
        <v>2004</v>
      </c>
      <c r="C960" t="str">
        <f>IF(book_sales[[#This Row],[Publishing Year]]&lt;1900,"Classic (Before 1900)",IF(book_sales[[#This Row],[Publishing Year]]&lt;2000,"20th Century (1900-1999)","21st Century (2000+)"))</f>
        <v>21st Century (2000+)</v>
      </c>
      <c r="D960" t="s">
        <v>1722</v>
      </c>
      <c r="E960" t="s">
        <v>1723</v>
      </c>
      <c r="F960" t="s">
        <v>23</v>
      </c>
      <c r="G960" t="s">
        <v>18</v>
      </c>
      <c r="H960">
        <v>3.1</v>
      </c>
      <c r="I960">
        <v>62760</v>
      </c>
      <c r="J960" t="s">
        <v>19</v>
      </c>
      <c r="K960">
        <v>322.92</v>
      </c>
      <c r="L960">
        <v>0</v>
      </c>
      <c r="M960">
        <v>2.99</v>
      </c>
      <c r="N960">
        <v>1199</v>
      </c>
      <c r="O960" t="s">
        <v>27</v>
      </c>
      <c r="P960">
        <v>108</v>
      </c>
    </row>
    <row r="961" spans="1:16" x14ac:dyDescent="0.35">
      <c r="A961">
        <v>564</v>
      </c>
      <c r="B961">
        <v>2006</v>
      </c>
      <c r="C961" t="str">
        <f>IF(book_sales[[#This Row],[Publishing Year]]&lt;1900,"Classic (Before 1900)",IF(book_sales[[#This Row],[Publishing Year]]&lt;2000,"20th Century (1900-1999)","21st Century (2000+)"))</f>
        <v>21st Century (2000+)</v>
      </c>
      <c r="D961" t="s">
        <v>1022</v>
      </c>
      <c r="E961" t="s">
        <v>1023</v>
      </c>
      <c r="F961" t="s">
        <v>23</v>
      </c>
      <c r="G961" t="s">
        <v>24</v>
      </c>
      <c r="H961">
        <v>3.89</v>
      </c>
      <c r="I961">
        <v>94282</v>
      </c>
      <c r="J961" t="s">
        <v>41</v>
      </c>
      <c r="K961">
        <v>1097.92</v>
      </c>
      <c r="L961">
        <v>658.75199999999995</v>
      </c>
      <c r="M961">
        <v>7.52</v>
      </c>
      <c r="N961">
        <v>629</v>
      </c>
      <c r="O961" t="s">
        <v>27</v>
      </c>
      <c r="P961">
        <v>3942</v>
      </c>
    </row>
    <row r="962" spans="1:16" x14ac:dyDescent="0.35">
      <c r="A962">
        <v>416</v>
      </c>
      <c r="B962">
        <v>2011</v>
      </c>
      <c r="C962" t="str">
        <f>IF(book_sales[[#This Row],[Publishing Year]]&lt;1900,"Classic (Before 1900)",IF(book_sales[[#This Row],[Publishing Year]]&lt;2000,"20th Century (1900-1999)","21st Century (2000+)"))</f>
        <v>21st Century (2000+)</v>
      </c>
      <c r="D962" t="s">
        <v>779</v>
      </c>
      <c r="E962" t="s">
        <v>780</v>
      </c>
      <c r="F962" t="s">
        <v>17</v>
      </c>
      <c r="G962" t="s">
        <v>532</v>
      </c>
      <c r="H962">
        <v>4.1900000000000004</v>
      </c>
      <c r="I962">
        <v>73886</v>
      </c>
      <c r="J962" t="s">
        <v>19</v>
      </c>
      <c r="K962">
        <v>194.04</v>
      </c>
      <c r="L962">
        <v>0</v>
      </c>
      <c r="M962">
        <v>0.99</v>
      </c>
      <c r="N962">
        <v>457</v>
      </c>
      <c r="O962" t="s">
        <v>27</v>
      </c>
      <c r="P962">
        <v>5292</v>
      </c>
    </row>
    <row r="963" spans="1:16" x14ac:dyDescent="0.35">
      <c r="A963">
        <v>151</v>
      </c>
      <c r="B963">
        <v>2004</v>
      </c>
      <c r="C963" t="str">
        <f>IF(book_sales[[#This Row],[Publishing Year]]&lt;1900,"Classic (Before 1900)",IF(book_sales[[#This Row],[Publishing Year]]&lt;2000,"20th Century (1900-1999)","21st Century (2000+)"))</f>
        <v>21st Century (2000+)</v>
      </c>
      <c r="D963" t="s">
        <v>309</v>
      </c>
      <c r="E963" t="s">
        <v>310</v>
      </c>
      <c r="F963" t="s">
        <v>23</v>
      </c>
      <c r="G963" t="s">
        <v>24</v>
      </c>
      <c r="H963">
        <v>3.8</v>
      </c>
      <c r="I963">
        <v>133683</v>
      </c>
      <c r="J963" t="s">
        <v>19</v>
      </c>
      <c r="K963">
        <v>5593</v>
      </c>
      <c r="L963">
        <v>3355.8</v>
      </c>
      <c r="M963">
        <v>7.99</v>
      </c>
      <c r="N963">
        <v>160</v>
      </c>
      <c r="O963" t="s">
        <v>31</v>
      </c>
      <c r="P963">
        <v>700</v>
      </c>
    </row>
    <row r="964" spans="1:16" x14ac:dyDescent="0.35">
      <c r="A964">
        <v>73</v>
      </c>
      <c r="B964">
        <v>1993</v>
      </c>
      <c r="C964" t="str">
        <f>IF(book_sales[[#This Row],[Publishing Year]]&lt;1900,"Classic (Before 1900)",IF(book_sales[[#This Row],[Publishing Year]]&lt;2000,"20th Century (1900-1999)","21st Century (2000+)"))</f>
        <v>20th Century (1900-1999)</v>
      </c>
      <c r="D964" t="s">
        <v>172</v>
      </c>
      <c r="E964" t="s">
        <v>173</v>
      </c>
      <c r="F964" t="s">
        <v>23</v>
      </c>
      <c r="G964" t="s">
        <v>24</v>
      </c>
      <c r="H964">
        <v>3.9</v>
      </c>
      <c r="I964">
        <v>145161</v>
      </c>
      <c r="J964" t="s">
        <v>19</v>
      </c>
      <c r="K964">
        <v>2724.31</v>
      </c>
      <c r="L964">
        <v>1634.586</v>
      </c>
      <c r="M964">
        <v>1.99</v>
      </c>
      <c r="N964">
        <v>76</v>
      </c>
      <c r="O964" t="s">
        <v>31</v>
      </c>
      <c r="P964">
        <v>1369</v>
      </c>
    </row>
    <row r="965" spans="1:16" x14ac:dyDescent="0.35">
      <c r="A965">
        <v>343</v>
      </c>
      <c r="B965">
        <v>2012</v>
      </c>
      <c r="C965" t="str">
        <f>IF(book_sales[[#This Row],[Publishing Year]]&lt;1900,"Classic (Before 1900)",IF(book_sales[[#This Row],[Publishing Year]]&lt;2000,"20th Century (1900-1999)","21st Century (2000+)"))</f>
        <v>21st Century (2000+)</v>
      </c>
      <c r="D965" t="s">
        <v>649</v>
      </c>
      <c r="E965" t="s">
        <v>650</v>
      </c>
      <c r="F965" t="s">
        <v>23</v>
      </c>
      <c r="G965" t="s">
        <v>24</v>
      </c>
      <c r="H965">
        <v>4</v>
      </c>
      <c r="I965">
        <v>92849</v>
      </c>
      <c r="J965" t="s">
        <v>19</v>
      </c>
      <c r="K965">
        <v>2566.65</v>
      </c>
      <c r="L965">
        <v>1539.99</v>
      </c>
      <c r="M965">
        <v>10.65</v>
      </c>
      <c r="N965">
        <v>368</v>
      </c>
      <c r="O965" t="s">
        <v>31</v>
      </c>
      <c r="P965">
        <v>241</v>
      </c>
    </row>
    <row r="966" spans="1:16" x14ac:dyDescent="0.35">
      <c r="A966">
        <v>1000</v>
      </c>
      <c r="B966">
        <v>2003</v>
      </c>
      <c r="C966" t="str">
        <f>IF(book_sales[[#This Row],[Publishing Year]]&lt;1900,"Classic (Before 1900)",IF(book_sales[[#This Row],[Publishing Year]]&lt;2000,"20th Century (1900-1999)","21st Century (2000+)"))</f>
        <v>21st Century (2000+)</v>
      </c>
      <c r="D966" t="s">
        <v>1700</v>
      </c>
      <c r="E966" t="s">
        <v>1701</v>
      </c>
      <c r="F966" t="s">
        <v>23</v>
      </c>
      <c r="G966" t="s">
        <v>24</v>
      </c>
      <c r="H966">
        <v>3.99</v>
      </c>
      <c r="I966">
        <v>66823</v>
      </c>
      <c r="J966" t="s">
        <v>19</v>
      </c>
      <c r="K966">
        <v>322.92</v>
      </c>
      <c r="L966">
        <v>0</v>
      </c>
      <c r="M966">
        <v>2.99</v>
      </c>
      <c r="N966">
        <v>1183</v>
      </c>
      <c r="O966" t="s">
        <v>27</v>
      </c>
      <c r="P966">
        <v>108</v>
      </c>
    </row>
    <row r="967" spans="1:16" x14ac:dyDescent="0.35">
      <c r="A967">
        <v>373</v>
      </c>
      <c r="B967">
        <v>2011</v>
      </c>
      <c r="C967" t="str">
        <f>IF(book_sales[[#This Row],[Publishing Year]]&lt;1900,"Classic (Before 1900)",IF(book_sales[[#This Row],[Publishing Year]]&lt;2000,"20th Century (1900-1999)","21st Century (2000+)"))</f>
        <v>21st Century (2000+)</v>
      </c>
      <c r="D967" t="s">
        <v>701</v>
      </c>
      <c r="E967" t="s">
        <v>702</v>
      </c>
      <c r="F967" t="s">
        <v>23</v>
      </c>
      <c r="G967" t="s">
        <v>532</v>
      </c>
      <c r="H967">
        <v>4.0199999999999996</v>
      </c>
      <c r="I967">
        <v>119633</v>
      </c>
      <c r="J967" t="s">
        <v>19</v>
      </c>
      <c r="K967">
        <v>1781.77</v>
      </c>
      <c r="L967">
        <v>1069.0619999999999</v>
      </c>
      <c r="M967">
        <v>7.99</v>
      </c>
      <c r="N967">
        <v>404</v>
      </c>
      <c r="O967" t="s">
        <v>34</v>
      </c>
      <c r="P967">
        <v>6021</v>
      </c>
    </row>
    <row r="968" spans="1:16" x14ac:dyDescent="0.35">
      <c r="A968">
        <v>603</v>
      </c>
      <c r="B968">
        <v>2012</v>
      </c>
      <c r="C968" t="str">
        <f>IF(book_sales[[#This Row],[Publishing Year]]&lt;1900,"Classic (Before 1900)",IF(book_sales[[#This Row],[Publishing Year]]&lt;2000,"20th Century (1900-1999)","21st Century (2000+)"))</f>
        <v>21st Century (2000+)</v>
      </c>
      <c r="D968" t="s">
        <v>1082</v>
      </c>
      <c r="E968" t="s">
        <v>702</v>
      </c>
      <c r="F968" t="s">
        <v>23</v>
      </c>
      <c r="G968" t="s">
        <v>532</v>
      </c>
      <c r="H968">
        <v>4.22</v>
      </c>
      <c r="I968">
        <v>91213</v>
      </c>
      <c r="J968" t="s">
        <v>19</v>
      </c>
      <c r="K968">
        <v>530.66999999999996</v>
      </c>
      <c r="L968">
        <v>0</v>
      </c>
      <c r="M968">
        <v>3.99</v>
      </c>
      <c r="N968">
        <v>689</v>
      </c>
      <c r="O968" t="s">
        <v>27</v>
      </c>
      <c r="P968">
        <v>51624</v>
      </c>
    </row>
    <row r="969" spans="1:16" x14ac:dyDescent="0.35">
      <c r="A969">
        <v>145</v>
      </c>
      <c r="B969">
        <v>2013</v>
      </c>
      <c r="C969" t="str">
        <f>IF(book_sales[[#This Row],[Publishing Year]]&lt;1900,"Classic (Before 1900)",IF(book_sales[[#This Row],[Publishing Year]]&lt;2000,"20th Century (1900-1999)","21st Century (2000+)"))</f>
        <v>21st Century (2000+)</v>
      </c>
      <c r="D969" t="s">
        <v>298</v>
      </c>
      <c r="E969" t="s">
        <v>299</v>
      </c>
      <c r="F969" t="s">
        <v>23</v>
      </c>
      <c r="G969" t="s">
        <v>24</v>
      </c>
      <c r="H969">
        <v>4.1900000000000004</v>
      </c>
      <c r="I969">
        <v>141641</v>
      </c>
      <c r="J969" t="s">
        <v>19</v>
      </c>
      <c r="K969">
        <v>727.65</v>
      </c>
      <c r="L969">
        <v>0</v>
      </c>
      <c r="M969">
        <v>0.99</v>
      </c>
      <c r="N969">
        <v>153</v>
      </c>
      <c r="O969" t="s">
        <v>27</v>
      </c>
      <c r="P969">
        <v>735</v>
      </c>
    </row>
    <row r="970" spans="1:16" x14ac:dyDescent="0.35">
      <c r="A970">
        <v>347</v>
      </c>
      <c r="B970">
        <v>1998</v>
      </c>
      <c r="C970" t="str">
        <f>IF(book_sales[[#This Row],[Publishing Year]]&lt;1900,"Classic (Before 1900)",IF(book_sales[[#This Row],[Publishing Year]]&lt;2000,"20th Century (1900-1999)","21st Century (2000+)"))</f>
        <v>20th Century (1900-1999)</v>
      </c>
      <c r="D970" t="s">
        <v>657</v>
      </c>
      <c r="E970" t="s">
        <v>658</v>
      </c>
      <c r="F970" t="s">
        <v>92</v>
      </c>
      <c r="G970" t="s">
        <v>532</v>
      </c>
      <c r="H970">
        <v>4.12</v>
      </c>
      <c r="I970">
        <v>98276</v>
      </c>
      <c r="J970" t="s">
        <v>19</v>
      </c>
      <c r="K970">
        <v>1544.62</v>
      </c>
      <c r="L970">
        <v>926.77200000000005</v>
      </c>
      <c r="M970">
        <v>6.49</v>
      </c>
      <c r="N970">
        <v>373</v>
      </c>
      <c r="O970" t="s">
        <v>46</v>
      </c>
      <c r="P970">
        <v>238</v>
      </c>
    </row>
    <row r="971" spans="1:16" x14ac:dyDescent="0.35">
      <c r="A971">
        <v>836</v>
      </c>
      <c r="B971">
        <v>1958</v>
      </c>
      <c r="C971" t="str">
        <f>IF(book_sales[[#This Row],[Publishing Year]]&lt;1900,"Classic (Before 1900)",IF(book_sales[[#This Row],[Publishing Year]]&lt;2000,"20th Century (1900-1999)","21st Century (2000+)"))</f>
        <v>20th Century (1900-1999)</v>
      </c>
      <c r="D971" t="s">
        <v>1449</v>
      </c>
      <c r="E971" t="s">
        <v>1450</v>
      </c>
      <c r="F971" t="s">
        <v>23</v>
      </c>
      <c r="G971" t="s">
        <v>532</v>
      </c>
      <c r="H971">
        <v>4.08</v>
      </c>
      <c r="I971">
        <v>76911</v>
      </c>
      <c r="J971" t="s">
        <v>41</v>
      </c>
      <c r="K971">
        <v>746.7</v>
      </c>
      <c r="L971">
        <v>448.02</v>
      </c>
      <c r="M971">
        <v>6.55</v>
      </c>
      <c r="N971">
        <v>973</v>
      </c>
      <c r="O971" t="s">
        <v>133</v>
      </c>
      <c r="P971">
        <v>2889</v>
      </c>
    </row>
    <row r="972" spans="1:16" x14ac:dyDescent="0.35">
      <c r="A972">
        <v>803</v>
      </c>
      <c r="B972">
        <v>2011</v>
      </c>
      <c r="C972" t="str">
        <f>IF(book_sales[[#This Row],[Publishing Year]]&lt;1900,"Classic (Before 1900)",IF(book_sales[[#This Row],[Publishing Year]]&lt;2000,"20th Century (1900-1999)","21st Century (2000+)"))</f>
        <v>21st Century (2000+)</v>
      </c>
      <c r="D972" t="s">
        <v>1408</v>
      </c>
      <c r="E972" t="s">
        <v>1409</v>
      </c>
      <c r="F972" t="s">
        <v>23</v>
      </c>
      <c r="G972" t="s">
        <v>18</v>
      </c>
      <c r="H972">
        <v>3.37</v>
      </c>
      <c r="I972">
        <v>66104</v>
      </c>
      <c r="J972" t="s">
        <v>19</v>
      </c>
      <c r="K972">
        <v>113.85</v>
      </c>
      <c r="L972">
        <v>0</v>
      </c>
      <c r="M972">
        <v>0.99</v>
      </c>
      <c r="N972">
        <v>936</v>
      </c>
      <c r="O972" t="s">
        <v>27</v>
      </c>
      <c r="P972">
        <v>2916</v>
      </c>
    </row>
    <row r="973" spans="1:16" x14ac:dyDescent="0.35">
      <c r="A973">
        <v>101</v>
      </c>
      <c r="B973">
        <v>2011</v>
      </c>
      <c r="C973" t="str">
        <f>IF(book_sales[[#This Row],[Publishing Year]]&lt;1900,"Classic (Before 1900)",IF(book_sales[[#This Row],[Publishing Year]]&lt;2000,"20th Century (1900-1999)","21st Century (2000+)"))</f>
        <v>21st Century (2000+)</v>
      </c>
      <c r="D973" t="s">
        <v>221</v>
      </c>
      <c r="E973" t="s">
        <v>222</v>
      </c>
      <c r="F973" t="s">
        <v>17</v>
      </c>
      <c r="G973" t="s">
        <v>24</v>
      </c>
      <c r="H973">
        <v>4.01</v>
      </c>
      <c r="I973">
        <v>176433</v>
      </c>
      <c r="J973" t="s">
        <v>30</v>
      </c>
      <c r="K973">
        <v>2195.1999999999998</v>
      </c>
      <c r="L973">
        <v>1317.12</v>
      </c>
      <c r="M973">
        <v>2.2400000000000002</v>
      </c>
      <c r="N973">
        <v>104</v>
      </c>
      <c r="O973" t="s">
        <v>27</v>
      </c>
      <c r="P973">
        <v>980</v>
      </c>
    </row>
    <row r="974" spans="1:16" x14ac:dyDescent="0.35">
      <c r="A974">
        <v>639</v>
      </c>
      <c r="B974">
        <v>2013</v>
      </c>
      <c r="C974" t="str">
        <f>IF(book_sales[[#This Row],[Publishing Year]]&lt;1900,"Classic (Before 1900)",IF(book_sales[[#This Row],[Publishing Year]]&lt;2000,"20th Century (1900-1999)","21st Century (2000+)"))</f>
        <v>21st Century (2000+)</v>
      </c>
      <c r="D974" t="s">
        <v>1141</v>
      </c>
      <c r="E974" t="s">
        <v>222</v>
      </c>
      <c r="F974" t="s">
        <v>23</v>
      </c>
      <c r="G974" t="s">
        <v>532</v>
      </c>
      <c r="H974">
        <v>4.28</v>
      </c>
      <c r="I974">
        <v>109183</v>
      </c>
      <c r="J974" t="s">
        <v>19</v>
      </c>
      <c r="K974">
        <v>122.76</v>
      </c>
      <c r="L974">
        <v>73.656000000000006</v>
      </c>
      <c r="M974">
        <v>0.99</v>
      </c>
      <c r="N974">
        <v>728</v>
      </c>
      <c r="O974" t="s">
        <v>27</v>
      </c>
      <c r="P974">
        <v>45792</v>
      </c>
    </row>
    <row r="975" spans="1:16" x14ac:dyDescent="0.35">
      <c r="A975">
        <v>58</v>
      </c>
      <c r="B975">
        <v>2012</v>
      </c>
      <c r="C975" t="str">
        <f>IF(book_sales[[#This Row],[Publishing Year]]&lt;1900,"Classic (Before 1900)",IF(book_sales[[#This Row],[Publishing Year]]&lt;2000,"20th Century (1900-1999)","21st Century (2000+)"))</f>
        <v>21st Century (2000+)</v>
      </c>
      <c r="D975" t="s">
        <v>142</v>
      </c>
      <c r="E975" t="s">
        <v>143</v>
      </c>
      <c r="F975" t="s">
        <v>144</v>
      </c>
      <c r="G975" t="s">
        <v>24</v>
      </c>
      <c r="H975">
        <v>4.1100000000000003</v>
      </c>
      <c r="I975">
        <v>133937</v>
      </c>
      <c r="J975" t="s">
        <v>19</v>
      </c>
      <c r="K975">
        <v>1613.7</v>
      </c>
      <c r="L975">
        <v>0</v>
      </c>
      <c r="M975">
        <v>0.99</v>
      </c>
      <c r="N975">
        <v>59</v>
      </c>
      <c r="O975" t="s">
        <v>27</v>
      </c>
      <c r="P975">
        <v>1630</v>
      </c>
    </row>
    <row r="976" spans="1:16" x14ac:dyDescent="0.35">
      <c r="A976">
        <v>949</v>
      </c>
      <c r="B976">
        <v>1983</v>
      </c>
      <c r="C976" t="str">
        <f>IF(book_sales[[#This Row],[Publishing Year]]&lt;1900,"Classic (Before 1900)",IF(book_sales[[#This Row],[Publishing Year]]&lt;2000,"20th Century (1900-1999)","21st Century (2000+)"))</f>
        <v>20th Century (1900-1999)</v>
      </c>
      <c r="D976" t="s">
        <v>1620</v>
      </c>
      <c r="E976" t="s">
        <v>1621</v>
      </c>
      <c r="F976" t="s">
        <v>17</v>
      </c>
      <c r="G976" t="s">
        <v>532</v>
      </c>
      <c r="H976">
        <v>4.2699999999999996</v>
      </c>
      <c r="I976">
        <v>85699</v>
      </c>
      <c r="J976" t="s">
        <v>19</v>
      </c>
      <c r="K976">
        <v>1867.8</v>
      </c>
      <c r="L976">
        <v>1120.68</v>
      </c>
      <c r="M976">
        <v>16.98</v>
      </c>
      <c r="N976">
        <v>1119</v>
      </c>
      <c r="O976" t="s">
        <v>34</v>
      </c>
      <c r="P976">
        <v>4280</v>
      </c>
    </row>
    <row r="977" spans="1:16" x14ac:dyDescent="0.35">
      <c r="A977">
        <v>794</v>
      </c>
      <c r="B977">
        <v>2008</v>
      </c>
      <c r="C977" t="str">
        <f>IF(book_sales[[#This Row],[Publishing Year]]&lt;1900,"Classic (Before 1900)",IF(book_sales[[#This Row],[Publishing Year]]&lt;2000,"20th Century (1900-1999)","21st Century (2000+)"))</f>
        <v>21st Century (2000+)</v>
      </c>
      <c r="D977" t="s">
        <v>1393</v>
      </c>
      <c r="E977" t="s">
        <v>1394</v>
      </c>
      <c r="F977" t="s">
        <v>23</v>
      </c>
      <c r="G977" t="s">
        <v>532</v>
      </c>
      <c r="H977">
        <v>4.05</v>
      </c>
      <c r="I977">
        <v>72480</v>
      </c>
      <c r="J977" t="s">
        <v>19</v>
      </c>
      <c r="K977">
        <v>803.85</v>
      </c>
      <c r="L977">
        <v>482.31</v>
      </c>
      <c r="M977">
        <v>6.99</v>
      </c>
      <c r="N977">
        <v>920</v>
      </c>
      <c r="O977" t="s">
        <v>34</v>
      </c>
      <c r="P977">
        <v>2916</v>
      </c>
    </row>
    <row r="978" spans="1:16" x14ac:dyDescent="0.35">
      <c r="A978">
        <v>452</v>
      </c>
      <c r="B978">
        <v>2015</v>
      </c>
      <c r="C978" t="str">
        <f>IF(book_sales[[#This Row],[Publishing Year]]&lt;1900,"Classic (Before 1900)",IF(book_sales[[#This Row],[Publishing Year]]&lt;2000,"20th Century (1900-1999)","21st Century (2000+)"))</f>
        <v>21st Century (2000+)</v>
      </c>
      <c r="D978" t="s">
        <v>836</v>
      </c>
      <c r="E978" t="s">
        <v>837</v>
      </c>
      <c r="F978" t="s">
        <v>23</v>
      </c>
      <c r="G978" t="s">
        <v>53</v>
      </c>
      <c r="H978">
        <v>4.4000000000000004</v>
      </c>
      <c r="I978">
        <v>74218</v>
      </c>
      <c r="J978" t="s">
        <v>19</v>
      </c>
      <c r="K978">
        <v>523.25</v>
      </c>
      <c r="L978">
        <v>0</v>
      </c>
      <c r="M978">
        <v>2.99</v>
      </c>
      <c r="N978">
        <v>499</v>
      </c>
      <c r="O978" t="s">
        <v>27</v>
      </c>
      <c r="P978">
        <v>4725</v>
      </c>
    </row>
    <row r="979" spans="1:16" x14ac:dyDescent="0.35">
      <c r="A979">
        <v>655</v>
      </c>
      <c r="B979">
        <v>1945</v>
      </c>
      <c r="C979" t="str">
        <f>IF(book_sales[[#This Row],[Publishing Year]]&lt;1900,"Classic (Before 1900)",IF(book_sales[[#This Row],[Publishing Year]]&lt;2000,"20th Century (1900-1999)","21st Century (2000+)"))</f>
        <v>20th Century (1900-1999)</v>
      </c>
      <c r="D979" t="s">
        <v>1167</v>
      </c>
      <c r="E979" t="s">
        <v>1168</v>
      </c>
      <c r="F979" t="s">
        <v>23</v>
      </c>
      <c r="G979" t="s">
        <v>24</v>
      </c>
      <c r="H979">
        <v>3.67</v>
      </c>
      <c r="I979">
        <v>90032</v>
      </c>
      <c r="J979" t="s">
        <v>41</v>
      </c>
      <c r="K979">
        <v>117.81</v>
      </c>
      <c r="L979">
        <v>70.686000000000007</v>
      </c>
      <c r="M979">
        <v>0.99</v>
      </c>
      <c r="N979">
        <v>752</v>
      </c>
      <c r="O979" t="s">
        <v>27</v>
      </c>
      <c r="P979">
        <v>41904</v>
      </c>
    </row>
    <row r="980" spans="1:16" x14ac:dyDescent="0.35">
      <c r="A980">
        <v>540</v>
      </c>
      <c r="B980">
        <v>1995</v>
      </c>
      <c r="C980" t="str">
        <f>IF(book_sales[[#This Row],[Publishing Year]]&lt;1900,"Classic (Before 1900)",IF(book_sales[[#This Row],[Publishing Year]]&lt;2000,"20th Century (1900-1999)","21st Century (2000+)"))</f>
        <v>20th Century (1900-1999)</v>
      </c>
      <c r="D980" t="s">
        <v>978</v>
      </c>
      <c r="E980" t="s">
        <v>979</v>
      </c>
      <c r="F980" t="s">
        <v>17</v>
      </c>
      <c r="G980" t="s">
        <v>532</v>
      </c>
      <c r="H980">
        <v>4.0999999999999996</v>
      </c>
      <c r="I980">
        <v>83235</v>
      </c>
      <c r="J980" t="s">
        <v>19</v>
      </c>
      <c r="K980">
        <v>1111.1199999999999</v>
      </c>
      <c r="L980">
        <v>666.67200000000003</v>
      </c>
      <c r="M980">
        <v>7.31</v>
      </c>
      <c r="N980">
        <v>603</v>
      </c>
      <c r="O980" t="s">
        <v>34</v>
      </c>
      <c r="P980">
        <v>4104</v>
      </c>
    </row>
    <row r="981" spans="1:16" x14ac:dyDescent="0.35">
      <c r="A981">
        <v>1005</v>
      </c>
      <c r="B981">
        <v>1996</v>
      </c>
      <c r="C981" t="str">
        <f>IF(book_sales[[#This Row],[Publishing Year]]&lt;1900,"Classic (Before 1900)",IF(book_sales[[#This Row],[Publishing Year]]&lt;2000,"20th Century (1900-1999)","21st Century (2000+)"))</f>
        <v>20th Century (1900-1999)</v>
      </c>
      <c r="D981" t="s">
        <v>1706</v>
      </c>
      <c r="E981" t="s">
        <v>979</v>
      </c>
      <c r="F981" t="s">
        <v>17</v>
      </c>
      <c r="G981" t="s">
        <v>24</v>
      </c>
      <c r="H981">
        <v>3.98</v>
      </c>
      <c r="I981">
        <v>60624</v>
      </c>
      <c r="J981" t="s">
        <v>19</v>
      </c>
      <c r="K981">
        <v>106.92</v>
      </c>
      <c r="L981">
        <v>64.152000000000001</v>
      </c>
      <c r="M981">
        <v>0.99</v>
      </c>
      <c r="N981">
        <v>1192</v>
      </c>
      <c r="O981" t="s">
        <v>27</v>
      </c>
      <c r="P981">
        <v>108</v>
      </c>
    </row>
    <row r="982" spans="1:16" x14ac:dyDescent="0.35">
      <c r="A982">
        <v>797</v>
      </c>
      <c r="B982">
        <v>2013</v>
      </c>
      <c r="C982" t="str">
        <f>IF(book_sales[[#This Row],[Publishing Year]]&lt;1900,"Classic (Before 1900)",IF(book_sales[[#This Row],[Publishing Year]]&lt;2000,"20th Century (1900-1999)","21st Century (2000+)"))</f>
        <v>21st Century (2000+)</v>
      </c>
      <c r="D982" t="s">
        <v>1398</v>
      </c>
      <c r="E982" t="s">
        <v>1399</v>
      </c>
      <c r="F982" t="s">
        <v>23</v>
      </c>
      <c r="G982" t="s">
        <v>532</v>
      </c>
      <c r="H982">
        <v>4.2300000000000004</v>
      </c>
      <c r="I982">
        <v>49740</v>
      </c>
      <c r="J982" t="s">
        <v>19</v>
      </c>
      <c r="K982">
        <v>573.85</v>
      </c>
      <c r="L982">
        <v>344.31</v>
      </c>
      <c r="M982">
        <v>4.99</v>
      </c>
      <c r="N982">
        <v>924</v>
      </c>
      <c r="O982" t="s">
        <v>27</v>
      </c>
      <c r="P982">
        <v>2916</v>
      </c>
    </row>
    <row r="983" spans="1:16" x14ac:dyDescent="0.35">
      <c r="A983">
        <v>224</v>
      </c>
      <c r="B983">
        <v>1987</v>
      </c>
      <c r="C983" t="str">
        <f>IF(book_sales[[#This Row],[Publishing Year]]&lt;1900,"Classic (Before 1900)",IF(book_sales[[#This Row],[Publishing Year]]&lt;2000,"20th Century (1900-1999)","21st Century (2000+)"))</f>
        <v>20th Century (1900-1999)</v>
      </c>
      <c r="D983" t="s">
        <v>434</v>
      </c>
      <c r="E983" t="s">
        <v>435</v>
      </c>
      <c r="F983" t="s">
        <v>23</v>
      </c>
      <c r="G983" t="s">
        <v>24</v>
      </c>
      <c r="H983">
        <v>4.22</v>
      </c>
      <c r="I983">
        <v>128450</v>
      </c>
      <c r="J983" t="s">
        <v>19</v>
      </c>
      <c r="K983">
        <v>3821.22</v>
      </c>
      <c r="L983">
        <v>2292.732</v>
      </c>
      <c r="M983">
        <v>8.9700000000000006</v>
      </c>
      <c r="N983">
        <v>244</v>
      </c>
      <c r="O983" t="s">
        <v>27</v>
      </c>
      <c r="P983">
        <v>426</v>
      </c>
    </row>
    <row r="984" spans="1:16" x14ac:dyDescent="0.35">
      <c r="A984">
        <v>363</v>
      </c>
      <c r="B984">
        <v>1989</v>
      </c>
      <c r="C984" t="str">
        <f>IF(book_sales[[#This Row],[Publishing Year]]&lt;1900,"Classic (Before 1900)",IF(book_sales[[#This Row],[Publishing Year]]&lt;2000,"20th Century (1900-1999)","21st Century (2000+)"))</f>
        <v>20th Century (1900-1999)</v>
      </c>
      <c r="D984" t="s">
        <v>683</v>
      </c>
      <c r="E984" t="s">
        <v>435</v>
      </c>
      <c r="F984" t="s">
        <v>23</v>
      </c>
      <c r="G984" t="s">
        <v>532</v>
      </c>
      <c r="H984">
        <v>4.32</v>
      </c>
      <c r="I984">
        <v>108652</v>
      </c>
      <c r="J984" t="s">
        <v>19</v>
      </c>
      <c r="K984">
        <v>1142.71</v>
      </c>
      <c r="L984">
        <v>0</v>
      </c>
      <c r="M984">
        <v>4.99</v>
      </c>
      <c r="N984">
        <v>392</v>
      </c>
      <c r="O984" t="s">
        <v>27</v>
      </c>
      <c r="P984">
        <v>6183</v>
      </c>
    </row>
    <row r="985" spans="1:16" x14ac:dyDescent="0.35">
      <c r="A985">
        <v>558</v>
      </c>
      <c r="B985">
        <v>1987</v>
      </c>
      <c r="C985" t="str">
        <f>IF(book_sales[[#This Row],[Publishing Year]]&lt;1900,"Classic (Before 1900)",IF(book_sales[[#This Row],[Publishing Year]]&lt;2000,"20th Century (1900-1999)","21st Century (2000+)"))</f>
        <v>20th Century (1900-1999)</v>
      </c>
      <c r="D985" t="s">
        <v>1012</v>
      </c>
      <c r="E985" t="s">
        <v>435</v>
      </c>
      <c r="F985" t="s">
        <v>23</v>
      </c>
      <c r="G985" t="s">
        <v>24</v>
      </c>
      <c r="H985">
        <v>4</v>
      </c>
      <c r="I985">
        <v>88673</v>
      </c>
      <c r="J985" t="s">
        <v>19</v>
      </c>
      <c r="K985">
        <v>145.53</v>
      </c>
      <c r="L985">
        <v>0</v>
      </c>
      <c r="M985">
        <v>0.99</v>
      </c>
      <c r="N985">
        <v>625</v>
      </c>
      <c r="O985" t="s">
        <v>27</v>
      </c>
      <c r="P985">
        <v>3969</v>
      </c>
    </row>
    <row r="986" spans="1:16" x14ac:dyDescent="0.35">
      <c r="A986">
        <v>806</v>
      </c>
      <c r="B986">
        <v>2004</v>
      </c>
      <c r="C986" t="str">
        <f>IF(book_sales[[#This Row],[Publishing Year]]&lt;1900,"Classic (Before 1900)",IF(book_sales[[#This Row],[Publishing Year]]&lt;2000,"20th Century (1900-1999)","21st Century (2000+)"))</f>
        <v>21st Century (2000+)</v>
      </c>
      <c r="D986" t="s">
        <v>1413</v>
      </c>
      <c r="E986" t="s">
        <v>435</v>
      </c>
      <c r="F986" t="s">
        <v>23</v>
      </c>
      <c r="G986" t="s">
        <v>532</v>
      </c>
      <c r="H986">
        <v>4.3600000000000003</v>
      </c>
      <c r="I986">
        <v>75186</v>
      </c>
      <c r="J986" t="s">
        <v>30</v>
      </c>
      <c r="K986">
        <v>1366.86</v>
      </c>
      <c r="L986">
        <v>820.11599999999999</v>
      </c>
      <c r="M986">
        <v>11.99</v>
      </c>
      <c r="N986">
        <v>939</v>
      </c>
      <c r="O986" t="s">
        <v>34</v>
      </c>
      <c r="P986">
        <v>2916</v>
      </c>
    </row>
    <row r="987" spans="1:16" x14ac:dyDescent="0.35">
      <c r="A987">
        <v>811</v>
      </c>
      <c r="B987">
        <v>2002</v>
      </c>
      <c r="C987" t="str">
        <f>IF(book_sales[[#This Row],[Publishing Year]]&lt;1900,"Classic (Before 1900)",IF(book_sales[[#This Row],[Publishing Year]]&lt;2000,"20th Century (1900-1999)","21st Century (2000+)"))</f>
        <v>21st Century (2000+)</v>
      </c>
      <c r="D987" t="s">
        <v>1419</v>
      </c>
      <c r="E987" t="s">
        <v>435</v>
      </c>
      <c r="F987" t="s">
        <v>23</v>
      </c>
      <c r="G987" t="s">
        <v>53</v>
      </c>
      <c r="H987">
        <v>4.47</v>
      </c>
      <c r="I987">
        <v>71271</v>
      </c>
      <c r="J987" t="s">
        <v>41</v>
      </c>
      <c r="K987">
        <v>910.86</v>
      </c>
      <c r="L987">
        <v>546.51599999999996</v>
      </c>
      <c r="M987">
        <v>7.99</v>
      </c>
      <c r="N987">
        <v>947</v>
      </c>
      <c r="O987" t="s">
        <v>27</v>
      </c>
      <c r="P987">
        <v>2916</v>
      </c>
    </row>
    <row r="988" spans="1:16" x14ac:dyDescent="0.35">
      <c r="A988">
        <v>812</v>
      </c>
      <c r="B988">
        <v>1986</v>
      </c>
      <c r="C988" t="str">
        <f>IF(book_sales[[#This Row],[Publishing Year]]&lt;1900,"Classic (Before 1900)",IF(book_sales[[#This Row],[Publishing Year]]&lt;2000,"20th Century (1900-1999)","21st Century (2000+)"))</f>
        <v>20th Century (1900-1999)</v>
      </c>
      <c r="D988" t="s">
        <v>1420</v>
      </c>
      <c r="E988" t="s">
        <v>435</v>
      </c>
      <c r="F988" t="s">
        <v>17</v>
      </c>
      <c r="G988" t="s">
        <v>24</v>
      </c>
      <c r="H988">
        <v>3.94</v>
      </c>
      <c r="I988">
        <v>75196</v>
      </c>
      <c r="J988" t="s">
        <v>41</v>
      </c>
      <c r="K988">
        <v>112.86</v>
      </c>
      <c r="L988">
        <v>67.715999999999994</v>
      </c>
      <c r="M988">
        <v>0.99</v>
      </c>
      <c r="N988">
        <v>949</v>
      </c>
      <c r="O988" t="s">
        <v>27</v>
      </c>
      <c r="P988">
        <v>2916</v>
      </c>
    </row>
    <row r="989" spans="1:16" x14ac:dyDescent="0.35">
      <c r="A989">
        <v>837</v>
      </c>
      <c r="B989">
        <v>1992</v>
      </c>
      <c r="C989" t="str">
        <f>IF(book_sales[[#This Row],[Publishing Year]]&lt;1900,"Classic (Before 1900)",IF(book_sales[[#This Row],[Publishing Year]]&lt;2000,"20th Century (1900-1999)","21st Century (2000+)"))</f>
        <v>20th Century (1900-1999)</v>
      </c>
      <c r="D989" t="s">
        <v>1451</v>
      </c>
      <c r="E989" t="s">
        <v>435</v>
      </c>
      <c r="F989" t="s">
        <v>92</v>
      </c>
      <c r="G989" t="s">
        <v>532</v>
      </c>
      <c r="H989">
        <v>4.2699999999999996</v>
      </c>
      <c r="I989">
        <v>72588</v>
      </c>
      <c r="J989" t="s">
        <v>19</v>
      </c>
      <c r="K989">
        <v>1220.4000000000001</v>
      </c>
      <c r="L989">
        <v>732.24</v>
      </c>
      <c r="M989">
        <v>10.8</v>
      </c>
      <c r="N989">
        <v>977</v>
      </c>
      <c r="O989" t="s">
        <v>20</v>
      </c>
      <c r="P989">
        <v>2889</v>
      </c>
    </row>
    <row r="990" spans="1:16" x14ac:dyDescent="0.35">
      <c r="A990">
        <v>485</v>
      </c>
      <c r="B990">
        <v>2001</v>
      </c>
      <c r="C990" t="str">
        <f>IF(book_sales[[#This Row],[Publishing Year]]&lt;1900,"Classic (Before 1900)",IF(book_sales[[#This Row],[Publishing Year]]&lt;2000,"20th Century (1900-1999)","21st Century (2000+)"))</f>
        <v>21st Century (2000+)</v>
      </c>
      <c r="D990" t="s">
        <v>892</v>
      </c>
      <c r="E990" t="s">
        <v>893</v>
      </c>
      <c r="F990" t="s">
        <v>92</v>
      </c>
      <c r="G990" t="s">
        <v>532</v>
      </c>
      <c r="H990">
        <v>4.0999999999999996</v>
      </c>
      <c r="I990">
        <v>89468</v>
      </c>
      <c r="J990" t="s">
        <v>41</v>
      </c>
      <c r="K990">
        <v>1835.33</v>
      </c>
      <c r="L990">
        <v>1101.1980000000001</v>
      </c>
      <c r="M990">
        <v>10.99</v>
      </c>
      <c r="N990">
        <v>536</v>
      </c>
      <c r="O990" t="s">
        <v>46</v>
      </c>
      <c r="P990">
        <v>4509</v>
      </c>
    </row>
    <row r="991" spans="1:16" x14ac:dyDescent="0.35">
      <c r="A991">
        <v>557</v>
      </c>
      <c r="B991">
        <v>1874</v>
      </c>
      <c r="C991" t="str">
        <f>IF(book_sales[[#This Row],[Publishing Year]]&lt;1900,"Classic (Before 1900)",IF(book_sales[[#This Row],[Publishing Year]]&lt;2000,"20th Century (1900-1999)","21st Century (2000+)"))</f>
        <v>Classic (Before 1900)</v>
      </c>
      <c r="D991" t="s">
        <v>1010</v>
      </c>
      <c r="E991" t="s">
        <v>1011</v>
      </c>
      <c r="F991" t="s">
        <v>23</v>
      </c>
      <c r="G991" t="s">
        <v>24</v>
      </c>
      <c r="H991">
        <v>3.92</v>
      </c>
      <c r="I991">
        <v>87427</v>
      </c>
      <c r="J991" t="s">
        <v>19</v>
      </c>
      <c r="K991">
        <v>1997.73</v>
      </c>
      <c r="L991">
        <v>1198.6379999999999</v>
      </c>
      <c r="M991">
        <v>13.59</v>
      </c>
      <c r="N991">
        <v>624</v>
      </c>
      <c r="O991" t="s">
        <v>20</v>
      </c>
      <c r="P991">
        <v>3969</v>
      </c>
    </row>
    <row r="992" spans="1:16" x14ac:dyDescent="0.35">
      <c r="A992">
        <v>28</v>
      </c>
      <c r="B992">
        <v>1891</v>
      </c>
      <c r="C992" t="str">
        <f>IF(book_sales[[#This Row],[Publishing Year]]&lt;1900,"Classic (Before 1900)",IF(book_sales[[#This Row],[Publishing Year]]&lt;2000,"20th Century (1900-1999)","21st Century (2000+)"))</f>
        <v>Classic (Before 1900)</v>
      </c>
      <c r="D992" t="s">
        <v>83</v>
      </c>
      <c r="E992" t="s">
        <v>84</v>
      </c>
      <c r="F992" t="s">
        <v>23</v>
      </c>
      <c r="G992" t="s">
        <v>24</v>
      </c>
      <c r="H992">
        <v>3.77</v>
      </c>
      <c r="I992">
        <v>171599</v>
      </c>
      <c r="J992" t="s">
        <v>41</v>
      </c>
      <c r="K992">
        <v>9576</v>
      </c>
      <c r="L992">
        <v>5745.6</v>
      </c>
      <c r="M992">
        <v>3.99</v>
      </c>
      <c r="N992">
        <v>29</v>
      </c>
      <c r="O992" t="s">
        <v>31</v>
      </c>
      <c r="P992">
        <v>2400</v>
      </c>
    </row>
    <row r="993" spans="1:16" x14ac:dyDescent="0.35">
      <c r="A993">
        <v>231</v>
      </c>
      <c r="B993">
        <v>1982</v>
      </c>
      <c r="C993" t="str">
        <f>IF(book_sales[[#This Row],[Publishing Year]]&lt;1900,"Classic (Before 1900)",IF(book_sales[[#This Row],[Publishing Year]]&lt;2000,"20th Century (1900-1999)","21st Century (2000+)"))</f>
        <v>20th Century (1900-1999)</v>
      </c>
      <c r="D993" t="s">
        <v>446</v>
      </c>
      <c r="E993" t="s">
        <v>447</v>
      </c>
      <c r="F993" t="s">
        <v>23</v>
      </c>
      <c r="G993" t="s">
        <v>24</v>
      </c>
      <c r="H993">
        <v>4.34</v>
      </c>
      <c r="I993">
        <v>108338</v>
      </c>
      <c r="J993" t="s">
        <v>19</v>
      </c>
      <c r="K993">
        <v>2537.9</v>
      </c>
      <c r="L993">
        <v>1522.74</v>
      </c>
      <c r="M993">
        <v>6.19</v>
      </c>
      <c r="N993">
        <v>254</v>
      </c>
      <c r="O993" t="s">
        <v>27</v>
      </c>
      <c r="P993">
        <v>410</v>
      </c>
    </row>
    <row r="994" spans="1:16" x14ac:dyDescent="0.35">
      <c r="A994">
        <v>438</v>
      </c>
      <c r="B994">
        <v>2005</v>
      </c>
      <c r="C994" t="str">
        <f>IF(book_sales[[#This Row],[Publishing Year]]&lt;1900,"Classic (Before 1900)",IF(book_sales[[#This Row],[Publishing Year]]&lt;2000,"20th Century (1900-1999)","21st Century (2000+)"))</f>
        <v>21st Century (2000+)</v>
      </c>
      <c r="D994" t="s">
        <v>814</v>
      </c>
      <c r="E994" t="s">
        <v>815</v>
      </c>
      <c r="F994" t="s">
        <v>17</v>
      </c>
      <c r="G994" t="s">
        <v>24</v>
      </c>
      <c r="H994">
        <v>3.66</v>
      </c>
      <c r="I994">
        <v>78271</v>
      </c>
      <c r="J994" t="s">
        <v>19</v>
      </c>
      <c r="K994">
        <v>544.17999999999995</v>
      </c>
      <c r="L994">
        <v>326.50799999999998</v>
      </c>
      <c r="M994">
        <v>2.99</v>
      </c>
      <c r="N994">
        <v>485</v>
      </c>
      <c r="O994" t="s">
        <v>31</v>
      </c>
      <c r="P994">
        <v>4914</v>
      </c>
    </row>
    <row r="995" spans="1:16" x14ac:dyDescent="0.35">
      <c r="A995">
        <v>657</v>
      </c>
      <c r="B995">
        <v>2007</v>
      </c>
      <c r="C995" t="str">
        <f>IF(book_sales[[#This Row],[Publishing Year]]&lt;1900,"Classic (Before 1900)",IF(book_sales[[#This Row],[Publishing Year]]&lt;2000,"20th Century (1900-1999)","21st Century (2000+)"))</f>
        <v>21st Century (2000+)</v>
      </c>
      <c r="D995" t="s">
        <v>1171</v>
      </c>
      <c r="E995" t="s">
        <v>1172</v>
      </c>
      <c r="F995" t="s">
        <v>23</v>
      </c>
      <c r="G995" t="s">
        <v>24</v>
      </c>
      <c r="H995">
        <v>3.84</v>
      </c>
      <c r="I995">
        <v>66129</v>
      </c>
      <c r="J995" t="s">
        <v>19</v>
      </c>
      <c r="K995">
        <v>355.81</v>
      </c>
      <c r="L995">
        <v>0</v>
      </c>
      <c r="M995">
        <v>2.99</v>
      </c>
      <c r="N995">
        <v>757</v>
      </c>
      <c r="O995" t="s">
        <v>27</v>
      </c>
      <c r="P995">
        <v>41256</v>
      </c>
    </row>
    <row r="996" spans="1:16" x14ac:dyDescent="0.35">
      <c r="A996">
        <v>189</v>
      </c>
      <c r="B996">
        <v>2002</v>
      </c>
      <c r="C996" t="str">
        <f>IF(book_sales[[#This Row],[Publishing Year]]&lt;1900,"Classic (Before 1900)",IF(book_sales[[#This Row],[Publishing Year]]&lt;2000,"20th Century (1900-1999)","21st Century (2000+)"))</f>
        <v>21st Century (2000+)</v>
      </c>
      <c r="D996" t="s">
        <v>372</v>
      </c>
      <c r="E996" t="s">
        <v>373</v>
      </c>
      <c r="F996" t="s">
        <v>23</v>
      </c>
      <c r="G996" t="s">
        <v>24</v>
      </c>
      <c r="H996">
        <v>4.21</v>
      </c>
      <c r="I996">
        <v>120004</v>
      </c>
      <c r="J996" t="s">
        <v>30</v>
      </c>
      <c r="K996">
        <v>2605.92</v>
      </c>
      <c r="L996">
        <v>1563.5519999999999</v>
      </c>
      <c r="M996">
        <v>5.34</v>
      </c>
      <c r="N996">
        <v>207</v>
      </c>
      <c r="O996" t="s">
        <v>34</v>
      </c>
      <c r="P996">
        <v>488</v>
      </c>
    </row>
    <row r="997" spans="1:16" x14ac:dyDescent="0.35">
      <c r="A997">
        <v>97</v>
      </c>
      <c r="B997">
        <v>1987</v>
      </c>
      <c r="C997" t="str">
        <f>IF(book_sales[[#This Row],[Publishing Year]]&lt;1900,"Classic (Before 1900)",IF(book_sales[[#This Row],[Publishing Year]]&lt;2000,"20th Century (1900-1999)","21st Century (2000+)"))</f>
        <v>20th Century (1900-1999)</v>
      </c>
      <c r="D997" t="s">
        <v>214</v>
      </c>
      <c r="E997" t="s">
        <v>215</v>
      </c>
      <c r="F997" t="s">
        <v>23</v>
      </c>
      <c r="G997" t="s">
        <v>24</v>
      </c>
      <c r="H997">
        <v>4.1100000000000003</v>
      </c>
      <c r="I997">
        <v>141674</v>
      </c>
      <c r="J997" t="s">
        <v>19</v>
      </c>
      <c r="K997">
        <v>6079.85</v>
      </c>
      <c r="L997">
        <v>0</v>
      </c>
      <c r="M997">
        <v>5.99</v>
      </c>
      <c r="N997">
        <v>99</v>
      </c>
      <c r="O997" t="s">
        <v>27</v>
      </c>
      <c r="P997">
        <v>1015</v>
      </c>
    </row>
    <row r="998" spans="1:16" x14ac:dyDescent="0.35">
      <c r="A998">
        <v>254</v>
      </c>
      <c r="B998">
        <v>1989</v>
      </c>
      <c r="C998" t="str">
        <f>IF(book_sales[[#This Row],[Publishing Year]]&lt;1900,"Classic (Before 1900)",IF(book_sales[[#This Row],[Publishing Year]]&lt;2000,"20th Century (1900-1999)","21st Century (2000+)"))</f>
        <v>20th Century (1900-1999)</v>
      </c>
      <c r="D998" t="s">
        <v>486</v>
      </c>
      <c r="E998" t="s">
        <v>215</v>
      </c>
      <c r="F998" t="s">
        <v>23</v>
      </c>
      <c r="G998" t="s">
        <v>24</v>
      </c>
      <c r="H998">
        <v>4.08</v>
      </c>
      <c r="I998">
        <v>105317</v>
      </c>
      <c r="J998" t="s">
        <v>19</v>
      </c>
      <c r="K998">
        <v>1115.27</v>
      </c>
      <c r="L998">
        <v>669.16200000000003</v>
      </c>
      <c r="M998">
        <v>2.99</v>
      </c>
      <c r="N998">
        <v>276</v>
      </c>
      <c r="O998" t="s">
        <v>31</v>
      </c>
      <c r="P998">
        <v>373</v>
      </c>
    </row>
    <row r="999" spans="1:16" x14ac:dyDescent="0.35">
      <c r="A999">
        <v>768</v>
      </c>
      <c r="B999">
        <v>1980</v>
      </c>
      <c r="C999" t="str">
        <f>IF(book_sales[[#This Row],[Publishing Year]]&lt;1900,"Classic (Before 1900)",IF(book_sales[[#This Row],[Publishing Year]]&lt;2000,"20th Century (1900-1999)","21st Century (2000+)"))</f>
        <v>20th Century (1900-1999)</v>
      </c>
      <c r="D999" t="s">
        <v>1347</v>
      </c>
      <c r="E999" t="s">
        <v>1348</v>
      </c>
      <c r="F999" t="s">
        <v>23</v>
      </c>
      <c r="G999" t="s">
        <v>532</v>
      </c>
      <c r="H999">
        <v>4.04</v>
      </c>
      <c r="I999">
        <v>56802</v>
      </c>
      <c r="J999" t="s">
        <v>19</v>
      </c>
      <c r="K999">
        <v>346.84</v>
      </c>
      <c r="L999">
        <v>0</v>
      </c>
      <c r="M999">
        <v>2.99</v>
      </c>
      <c r="N999">
        <v>887</v>
      </c>
      <c r="O999" t="s">
        <v>27</v>
      </c>
      <c r="P999">
        <v>29808</v>
      </c>
    </row>
    <row r="1000" spans="1:16" x14ac:dyDescent="0.35">
      <c r="A1000">
        <v>972</v>
      </c>
      <c r="B1000">
        <v>1984</v>
      </c>
      <c r="C1000" t="str">
        <f>IF(book_sales[[#This Row],[Publishing Year]]&lt;1900,"Classic (Before 1900)",IF(book_sales[[#This Row],[Publishing Year]]&lt;2000,"20th Century (1900-1999)","21st Century (2000+)"))</f>
        <v>20th Century (1900-1999)</v>
      </c>
      <c r="D1000" t="s">
        <v>1654</v>
      </c>
      <c r="E1000" t="s">
        <v>1348</v>
      </c>
      <c r="F1000" t="s">
        <v>23</v>
      </c>
      <c r="G1000" t="s">
        <v>532</v>
      </c>
      <c r="H1000">
        <v>4.24</v>
      </c>
      <c r="I1000">
        <v>48277</v>
      </c>
      <c r="J1000" t="s">
        <v>19</v>
      </c>
      <c r="K1000">
        <v>325.91000000000003</v>
      </c>
      <c r="L1000">
        <v>0</v>
      </c>
      <c r="M1000">
        <v>2.99</v>
      </c>
      <c r="N1000">
        <v>1148</v>
      </c>
      <c r="O1000" t="s">
        <v>27</v>
      </c>
      <c r="P1000">
        <v>4240</v>
      </c>
    </row>
    <row r="1001" spans="1:16" x14ac:dyDescent="0.35">
      <c r="A1001">
        <v>1053</v>
      </c>
      <c r="B1001">
        <v>1966</v>
      </c>
      <c r="C1001" t="str">
        <f>IF(book_sales[[#This Row],[Publishing Year]]&lt;1900,"Classic (Before 1900)",IF(book_sales[[#This Row],[Publishing Year]]&lt;2000,"20th Century (1900-1999)","21st Century (2000+)"))</f>
        <v>20th Century (1900-1999)</v>
      </c>
      <c r="D1001" t="s">
        <v>1780</v>
      </c>
      <c r="E1001" t="s">
        <v>1781</v>
      </c>
      <c r="F1001" t="s">
        <v>23</v>
      </c>
      <c r="G1001" t="s">
        <v>532</v>
      </c>
      <c r="H1001">
        <v>4.0599999999999996</v>
      </c>
      <c r="I1001">
        <v>67077</v>
      </c>
      <c r="J1001" t="s">
        <v>41</v>
      </c>
      <c r="K1001">
        <v>1334.54</v>
      </c>
      <c r="L1001">
        <v>800.72400000000005</v>
      </c>
      <c r="M1001">
        <v>12.59</v>
      </c>
      <c r="N1001">
        <v>1248</v>
      </c>
      <c r="O1001" t="s">
        <v>46</v>
      </c>
      <c r="P1001">
        <v>106</v>
      </c>
    </row>
    <row r="1002" spans="1:16" x14ac:dyDescent="0.35">
      <c r="A1002">
        <v>1039</v>
      </c>
      <c r="B1002">
        <v>1968</v>
      </c>
      <c r="C1002" t="str">
        <f>IF(book_sales[[#This Row],[Publishing Year]]&lt;1900,"Classic (Before 1900)",IF(book_sales[[#This Row],[Publishing Year]]&lt;2000,"20th Century (1900-1999)","21st Century (2000+)"))</f>
        <v>20th Century (1900-1999)</v>
      </c>
      <c r="D1002" t="s">
        <v>1756</v>
      </c>
      <c r="E1002" t="s">
        <v>1757</v>
      </c>
      <c r="F1002" t="s">
        <v>17</v>
      </c>
      <c r="G1002" t="s">
        <v>24</v>
      </c>
      <c r="H1002">
        <v>3.92</v>
      </c>
      <c r="I1002">
        <v>54848</v>
      </c>
      <c r="J1002" t="s">
        <v>19</v>
      </c>
      <c r="K1002">
        <v>319.93</v>
      </c>
      <c r="L1002">
        <v>0</v>
      </c>
      <c r="M1002">
        <v>2.99</v>
      </c>
      <c r="N1002">
        <v>1225</v>
      </c>
      <c r="O1002" t="s">
        <v>27</v>
      </c>
      <c r="P1002">
        <v>107</v>
      </c>
    </row>
    <row r="1003" spans="1:16" x14ac:dyDescent="0.35">
      <c r="A1003">
        <v>232</v>
      </c>
      <c r="B1003">
        <v>1970</v>
      </c>
      <c r="C1003" t="str">
        <f>IF(book_sales[[#This Row],[Publishing Year]]&lt;1900,"Classic (Before 1900)",IF(book_sales[[#This Row],[Publishing Year]]&lt;2000,"20th Century (1900-1999)","21st Century (2000+)"))</f>
        <v>20th Century (1900-1999)</v>
      </c>
      <c r="D1003" t="s">
        <v>448</v>
      </c>
      <c r="E1003" t="s">
        <v>449</v>
      </c>
      <c r="F1003" t="s">
        <v>23</v>
      </c>
      <c r="G1003" t="s">
        <v>24</v>
      </c>
      <c r="H1003">
        <v>3.99</v>
      </c>
      <c r="I1003">
        <v>109944</v>
      </c>
      <c r="J1003" t="s">
        <v>19</v>
      </c>
      <c r="K1003">
        <v>1219.92</v>
      </c>
      <c r="L1003">
        <v>0</v>
      </c>
      <c r="M1003">
        <v>2.99</v>
      </c>
      <c r="N1003">
        <v>255</v>
      </c>
      <c r="O1003" t="s">
        <v>27</v>
      </c>
      <c r="P1003">
        <v>408</v>
      </c>
    </row>
    <row r="1004" spans="1:16" x14ac:dyDescent="0.35">
      <c r="A1004">
        <v>915</v>
      </c>
      <c r="B1004">
        <v>2003</v>
      </c>
      <c r="C1004" t="str">
        <f>IF(book_sales[[#This Row],[Publishing Year]]&lt;1900,"Classic (Before 1900)",IF(book_sales[[#This Row],[Publishing Year]]&lt;2000,"20th Century (1900-1999)","21st Century (2000+)"))</f>
        <v>21st Century (2000+)</v>
      </c>
      <c r="D1004" t="s">
        <v>1564</v>
      </c>
      <c r="E1004" t="s">
        <v>1565</v>
      </c>
      <c r="G1004" t="s">
        <v>24</v>
      </c>
      <c r="H1004">
        <v>3.81</v>
      </c>
      <c r="I1004">
        <v>53384</v>
      </c>
      <c r="J1004" t="s">
        <v>19</v>
      </c>
      <c r="K1004">
        <v>109.89</v>
      </c>
      <c r="L1004">
        <v>0</v>
      </c>
      <c r="M1004">
        <v>0.99</v>
      </c>
      <c r="N1004">
        <v>1073</v>
      </c>
      <c r="O1004" t="s">
        <v>27</v>
      </c>
      <c r="P1004">
        <v>4360</v>
      </c>
    </row>
    <row r="1005" spans="1:16" x14ac:dyDescent="0.35">
      <c r="A1005">
        <v>762</v>
      </c>
      <c r="B1005">
        <v>2007</v>
      </c>
      <c r="C1005" t="str">
        <f>IF(book_sales[[#This Row],[Publishing Year]]&lt;1900,"Classic (Before 1900)",IF(book_sales[[#This Row],[Publishing Year]]&lt;2000,"20th Century (1900-1999)","21st Century (2000+)"))</f>
        <v>21st Century (2000+)</v>
      </c>
      <c r="D1005" t="s">
        <v>1338</v>
      </c>
      <c r="E1005" t="s">
        <v>1339</v>
      </c>
      <c r="F1005" t="s">
        <v>17</v>
      </c>
      <c r="G1005" t="s">
        <v>532</v>
      </c>
      <c r="H1005">
        <v>4.1399999999999997</v>
      </c>
      <c r="I1005">
        <v>87335</v>
      </c>
      <c r="J1005" t="s">
        <v>19</v>
      </c>
      <c r="K1005">
        <v>114.84</v>
      </c>
      <c r="L1005">
        <v>68.903999999999996</v>
      </c>
      <c r="M1005">
        <v>0.99</v>
      </c>
      <c r="N1005">
        <v>881</v>
      </c>
      <c r="O1005" t="s">
        <v>27</v>
      </c>
      <c r="P1005">
        <v>30672</v>
      </c>
    </row>
    <row r="1006" spans="1:16" x14ac:dyDescent="0.35">
      <c r="A1006">
        <v>133</v>
      </c>
      <c r="B1006">
        <v>1958</v>
      </c>
      <c r="C1006" t="str">
        <f>IF(book_sales[[#This Row],[Publishing Year]]&lt;1900,"Classic (Before 1900)",IF(book_sales[[#This Row],[Publishing Year]]&lt;2000,"20th Century (1900-1999)","21st Century (2000+)"))</f>
        <v>20th Century (1900-1999)</v>
      </c>
      <c r="D1006" t="s">
        <v>278</v>
      </c>
      <c r="E1006" t="s">
        <v>279</v>
      </c>
      <c r="F1006" t="s">
        <v>23</v>
      </c>
      <c r="G1006" t="s">
        <v>24</v>
      </c>
      <c r="H1006">
        <v>3.89</v>
      </c>
      <c r="I1006">
        <v>129778</v>
      </c>
      <c r="J1006" t="s">
        <v>19</v>
      </c>
      <c r="K1006">
        <v>792</v>
      </c>
      <c r="L1006">
        <v>475.2</v>
      </c>
      <c r="M1006">
        <v>0.99</v>
      </c>
      <c r="N1006">
        <v>140</v>
      </c>
      <c r="O1006" t="s">
        <v>27</v>
      </c>
      <c r="P1006">
        <v>800</v>
      </c>
    </row>
    <row r="1007" spans="1:16" x14ac:dyDescent="0.35">
      <c r="A1007">
        <v>54</v>
      </c>
      <c r="B1007">
        <v>2004</v>
      </c>
      <c r="C1007" t="str">
        <f>IF(book_sales[[#This Row],[Publishing Year]]&lt;1900,"Classic (Before 1900)",IF(book_sales[[#This Row],[Publishing Year]]&lt;2000,"20th Century (1900-1999)","21st Century (2000+)"))</f>
        <v>21st Century (2000+)</v>
      </c>
      <c r="D1007" t="s">
        <v>134</v>
      </c>
      <c r="E1007" t="s">
        <v>135</v>
      </c>
      <c r="F1007" t="s">
        <v>23</v>
      </c>
      <c r="G1007" t="s">
        <v>53</v>
      </c>
      <c r="H1007">
        <v>4.42</v>
      </c>
      <c r="I1007">
        <v>139501</v>
      </c>
      <c r="J1007" t="s">
        <v>19</v>
      </c>
      <c r="K1007">
        <v>6687.24</v>
      </c>
      <c r="L1007">
        <v>0</v>
      </c>
      <c r="M1007">
        <v>3.99</v>
      </c>
      <c r="N1007">
        <v>56</v>
      </c>
      <c r="O1007" t="s">
        <v>27</v>
      </c>
      <c r="P1007">
        <v>1676</v>
      </c>
    </row>
    <row r="1008" spans="1:16" x14ac:dyDescent="0.35">
      <c r="A1008">
        <v>0</v>
      </c>
      <c r="B1008">
        <v>1975</v>
      </c>
      <c r="C1008" t="str">
        <f>IF(book_sales[[#This Row],[Publishing Year]]&lt;1900,"Classic (Before 1900)",IF(book_sales[[#This Row],[Publishing Year]]&lt;2000,"20th Century (1900-1999)","21st Century (2000+)"))</f>
        <v>20th Century (1900-1999)</v>
      </c>
      <c r="D1008" t="s">
        <v>15</v>
      </c>
      <c r="E1008" t="s">
        <v>16</v>
      </c>
      <c r="F1008" t="s">
        <v>17</v>
      </c>
      <c r="G1008" t="s">
        <v>18</v>
      </c>
      <c r="H1008">
        <v>3.42</v>
      </c>
      <c r="I1008">
        <v>155903</v>
      </c>
      <c r="J1008" t="s">
        <v>19</v>
      </c>
      <c r="K1008">
        <v>34160</v>
      </c>
      <c r="L1008">
        <v>20496</v>
      </c>
      <c r="M1008">
        <v>4.88</v>
      </c>
      <c r="N1008">
        <v>1</v>
      </c>
      <c r="O1008" t="s">
        <v>20</v>
      </c>
      <c r="P1008">
        <v>7000</v>
      </c>
    </row>
    <row r="1009" spans="1:16" x14ac:dyDescent="0.35">
      <c r="A1009">
        <v>348</v>
      </c>
      <c r="B1009">
        <v>1906</v>
      </c>
      <c r="C1009" t="str">
        <f>IF(book_sales[[#This Row],[Publishing Year]]&lt;1900,"Classic (Before 1900)",IF(book_sales[[#This Row],[Publishing Year]]&lt;2000,"20th Century (1900-1999)","21st Century (2000+)"))</f>
        <v>20th Century (1900-1999)</v>
      </c>
      <c r="D1009" t="s">
        <v>659</v>
      </c>
      <c r="E1009" t="s">
        <v>660</v>
      </c>
      <c r="F1009" t="s">
        <v>23</v>
      </c>
      <c r="G1009" t="s">
        <v>24</v>
      </c>
      <c r="H1009">
        <v>3.72</v>
      </c>
      <c r="I1009">
        <v>97468</v>
      </c>
      <c r="J1009" t="s">
        <v>19</v>
      </c>
      <c r="K1009">
        <v>1419.63</v>
      </c>
      <c r="L1009">
        <v>851.77800000000002</v>
      </c>
      <c r="M1009">
        <v>5.99</v>
      </c>
      <c r="N1009">
        <v>375</v>
      </c>
      <c r="O1009" t="s">
        <v>46</v>
      </c>
      <c r="P1009">
        <v>237</v>
      </c>
    </row>
    <row r="1010" spans="1:16" x14ac:dyDescent="0.35">
      <c r="A1010">
        <v>628</v>
      </c>
      <c r="B1010">
        <v>1994</v>
      </c>
      <c r="C1010" t="str">
        <f>IF(book_sales[[#This Row],[Publishing Year]]&lt;1900,"Classic (Before 1900)",IF(book_sales[[#This Row],[Publishing Year]]&lt;2000,"20th Century (1900-1999)","21st Century (2000+)"))</f>
        <v>20th Century (1900-1999)</v>
      </c>
      <c r="D1010" t="s">
        <v>1123</v>
      </c>
      <c r="E1010" t="s">
        <v>1124</v>
      </c>
      <c r="F1010" t="s">
        <v>92</v>
      </c>
      <c r="G1010" t="s">
        <v>532</v>
      </c>
      <c r="H1010">
        <v>4.07</v>
      </c>
      <c r="I1010">
        <v>80056</v>
      </c>
      <c r="J1010" t="s">
        <v>19</v>
      </c>
      <c r="K1010">
        <v>787.2</v>
      </c>
      <c r="L1010">
        <v>472.32</v>
      </c>
      <c r="M1010">
        <v>6.15</v>
      </c>
      <c r="N1010">
        <v>712</v>
      </c>
      <c r="O1010" t="s">
        <v>27</v>
      </c>
      <c r="P1010">
        <v>47304</v>
      </c>
    </row>
    <row r="1011" spans="1:16" x14ac:dyDescent="0.35">
      <c r="A1011">
        <v>62</v>
      </c>
      <c r="B1011">
        <v>1968</v>
      </c>
      <c r="C1011" t="str">
        <f>IF(book_sales[[#This Row],[Publishing Year]]&lt;1900,"Classic (Before 1900)",IF(book_sales[[#This Row],[Publishing Year]]&lt;2000,"20th Century (1900-1999)","21st Century (2000+)"))</f>
        <v>20th Century (1900-1999)</v>
      </c>
      <c r="D1011" t="s">
        <v>151</v>
      </c>
      <c r="E1011" t="s">
        <v>152</v>
      </c>
      <c r="F1011" t="s">
        <v>17</v>
      </c>
      <c r="G1011" t="s">
        <v>24</v>
      </c>
      <c r="H1011">
        <v>3.99</v>
      </c>
      <c r="I1011">
        <v>155042</v>
      </c>
      <c r="J1011" t="s">
        <v>19</v>
      </c>
      <c r="K1011">
        <v>4707</v>
      </c>
      <c r="L1011">
        <v>0</v>
      </c>
      <c r="M1011">
        <v>3</v>
      </c>
      <c r="N1011">
        <v>63</v>
      </c>
      <c r="O1011" t="s">
        <v>27</v>
      </c>
      <c r="P1011">
        <v>1569</v>
      </c>
    </row>
    <row r="1012" spans="1:16" x14ac:dyDescent="0.35">
      <c r="A1012">
        <v>1060</v>
      </c>
      <c r="B1012">
        <v>1972</v>
      </c>
      <c r="C1012" t="str">
        <f>IF(book_sales[[#This Row],[Publishing Year]]&lt;1900,"Classic (Before 1900)",IF(book_sales[[#This Row],[Publishing Year]]&lt;2000,"20th Century (1900-1999)","21st Century (2000+)"))</f>
        <v>20th Century (1900-1999)</v>
      </c>
      <c r="D1012" t="s">
        <v>1791</v>
      </c>
      <c r="E1012" t="s">
        <v>152</v>
      </c>
      <c r="G1012" t="s">
        <v>532</v>
      </c>
      <c r="H1012">
        <v>4.1100000000000003</v>
      </c>
      <c r="I1012">
        <v>65626</v>
      </c>
      <c r="J1012" t="s">
        <v>41</v>
      </c>
      <c r="K1012">
        <v>210.94</v>
      </c>
      <c r="L1012">
        <v>0</v>
      </c>
      <c r="M1012">
        <v>1.99</v>
      </c>
      <c r="N1012">
        <v>1258</v>
      </c>
      <c r="O1012" t="s">
        <v>27</v>
      </c>
      <c r="P1012">
        <v>106</v>
      </c>
    </row>
    <row r="1013" spans="1:16" x14ac:dyDescent="0.35">
      <c r="A1013">
        <v>1043</v>
      </c>
      <c r="B1013">
        <v>1969</v>
      </c>
      <c r="C1013" t="str">
        <f>IF(book_sales[[#This Row],[Publishing Year]]&lt;1900,"Classic (Before 1900)",IF(book_sales[[#This Row],[Publishing Year]]&lt;2000,"20th Century (1900-1999)","21st Century (2000+)"))</f>
        <v>20th Century (1900-1999)</v>
      </c>
      <c r="D1013" t="s">
        <v>1763</v>
      </c>
      <c r="E1013" t="s">
        <v>1764</v>
      </c>
      <c r="F1013" t="s">
        <v>23</v>
      </c>
      <c r="G1013" t="s">
        <v>532</v>
      </c>
      <c r="H1013">
        <v>4.05</v>
      </c>
      <c r="I1013">
        <v>61888</v>
      </c>
      <c r="J1013" t="s">
        <v>19</v>
      </c>
      <c r="K1013">
        <v>822.83</v>
      </c>
      <c r="L1013">
        <v>493.69799999999998</v>
      </c>
      <c r="M1013">
        <v>7.69</v>
      </c>
      <c r="N1013">
        <v>1233</v>
      </c>
      <c r="O1013" t="s">
        <v>46</v>
      </c>
      <c r="P1013">
        <v>107</v>
      </c>
    </row>
    <row r="1014" spans="1:16" x14ac:dyDescent="0.35">
      <c r="A1014">
        <v>320</v>
      </c>
      <c r="B1014">
        <v>1979</v>
      </c>
      <c r="C1014" t="str">
        <f>IF(book_sales[[#This Row],[Publishing Year]]&lt;1900,"Classic (Before 1900)",IF(book_sales[[#This Row],[Publishing Year]]&lt;2000,"20th Century (1900-1999)","21st Century (2000+)"))</f>
        <v>20th Century (1900-1999)</v>
      </c>
      <c r="D1014" t="s">
        <v>606</v>
      </c>
      <c r="E1014" t="s">
        <v>607</v>
      </c>
      <c r="F1014" t="s">
        <v>23</v>
      </c>
      <c r="G1014" t="s">
        <v>24</v>
      </c>
      <c r="H1014">
        <v>3.79</v>
      </c>
      <c r="I1014">
        <v>109063</v>
      </c>
      <c r="J1014" t="s">
        <v>608</v>
      </c>
      <c r="K1014">
        <v>1877.82</v>
      </c>
      <c r="L1014">
        <v>1126.692</v>
      </c>
      <c r="M1014">
        <v>7.14</v>
      </c>
      <c r="N1014">
        <v>342</v>
      </c>
      <c r="O1014" t="s">
        <v>27</v>
      </c>
      <c r="P1014">
        <v>263</v>
      </c>
    </row>
    <row r="1015" spans="1:16" x14ac:dyDescent="0.35">
      <c r="A1015">
        <v>36</v>
      </c>
      <c r="B1015">
        <v>2011</v>
      </c>
      <c r="C1015" t="str">
        <f>IF(book_sales[[#This Row],[Publishing Year]]&lt;1900,"Classic (Before 1900)",IF(book_sales[[#This Row],[Publishing Year]]&lt;2000,"20th Century (1900-1999)","21st Century (2000+)"))</f>
        <v>21st Century (2000+)</v>
      </c>
      <c r="D1015" t="s">
        <v>97</v>
      </c>
      <c r="E1015" t="s">
        <v>98</v>
      </c>
      <c r="F1015" t="s">
        <v>23</v>
      </c>
      <c r="G1015" t="s">
        <v>24</v>
      </c>
      <c r="H1015">
        <v>4.07</v>
      </c>
      <c r="I1015">
        <v>140076</v>
      </c>
      <c r="J1015" t="s">
        <v>19</v>
      </c>
      <c r="K1015">
        <v>1964.16</v>
      </c>
      <c r="L1015">
        <v>1178.4960000000001</v>
      </c>
      <c r="M1015">
        <v>0.99</v>
      </c>
      <c r="N1015">
        <v>36</v>
      </c>
      <c r="O1015" t="s">
        <v>27</v>
      </c>
      <c r="P1015">
        <v>1984</v>
      </c>
    </row>
    <row r="1016" spans="1:16" x14ac:dyDescent="0.35">
      <c r="A1016">
        <v>882</v>
      </c>
      <c r="B1016">
        <v>2011</v>
      </c>
      <c r="C1016" t="str">
        <f>IF(book_sales[[#This Row],[Publishing Year]]&lt;1900,"Classic (Before 1900)",IF(book_sales[[#This Row],[Publishing Year]]&lt;2000,"20th Century (1900-1999)","21st Century (2000+)"))</f>
        <v>21st Century (2000+)</v>
      </c>
      <c r="D1016" t="s">
        <v>1516</v>
      </c>
      <c r="E1016" t="s">
        <v>1517</v>
      </c>
      <c r="F1016" t="s">
        <v>92</v>
      </c>
      <c r="G1016" t="s">
        <v>532</v>
      </c>
      <c r="H1016">
        <v>4.01</v>
      </c>
      <c r="I1016">
        <v>74029</v>
      </c>
      <c r="J1016" t="s">
        <v>19</v>
      </c>
      <c r="K1016">
        <v>446.88</v>
      </c>
      <c r="L1016">
        <v>0</v>
      </c>
      <c r="M1016">
        <v>3.99</v>
      </c>
      <c r="N1016">
        <v>1034</v>
      </c>
      <c r="O1016" t="s">
        <v>27</v>
      </c>
      <c r="P1016">
        <v>4440</v>
      </c>
    </row>
    <row r="1017" spans="1:16" x14ac:dyDescent="0.35">
      <c r="A1017">
        <v>514</v>
      </c>
      <c r="B1017">
        <v>2014</v>
      </c>
      <c r="C1017" t="str">
        <f>IF(book_sales[[#This Row],[Publishing Year]]&lt;1900,"Classic (Before 1900)",IF(book_sales[[#This Row],[Publishing Year]]&lt;2000,"20th Century (1900-1999)","21st Century (2000+)"))</f>
        <v>21st Century (2000+)</v>
      </c>
      <c r="D1017" t="s">
        <v>936</v>
      </c>
      <c r="E1017" t="s">
        <v>937</v>
      </c>
      <c r="F1017" t="s">
        <v>23</v>
      </c>
      <c r="G1017" t="s">
        <v>532</v>
      </c>
      <c r="H1017">
        <v>4.0999999999999996</v>
      </c>
      <c r="I1017">
        <v>97058</v>
      </c>
      <c r="J1017" t="s">
        <v>30</v>
      </c>
      <c r="K1017">
        <v>475.41</v>
      </c>
      <c r="L1017">
        <v>0</v>
      </c>
      <c r="M1017">
        <v>2.99</v>
      </c>
      <c r="N1017">
        <v>570</v>
      </c>
      <c r="O1017" t="s">
        <v>27</v>
      </c>
      <c r="P1017">
        <v>4293</v>
      </c>
    </row>
    <row r="1018" spans="1:16" x14ac:dyDescent="0.35">
      <c r="A1018">
        <v>666</v>
      </c>
      <c r="B1018">
        <v>2012</v>
      </c>
      <c r="C1018" t="str">
        <f>IF(book_sales[[#This Row],[Publishing Year]]&lt;1900,"Classic (Before 1900)",IF(book_sales[[#This Row],[Publishing Year]]&lt;2000,"20th Century (1900-1999)","21st Century (2000+)"))</f>
        <v>21st Century (2000+)</v>
      </c>
      <c r="D1018" t="s">
        <v>1188</v>
      </c>
      <c r="E1018" t="s">
        <v>937</v>
      </c>
      <c r="F1018" t="s">
        <v>23</v>
      </c>
      <c r="G1018" t="s">
        <v>532</v>
      </c>
      <c r="H1018">
        <v>4.18</v>
      </c>
      <c r="I1018">
        <v>81621</v>
      </c>
      <c r="J1018" t="s">
        <v>41</v>
      </c>
      <c r="K1018">
        <v>1188.81</v>
      </c>
      <c r="L1018">
        <v>713.28599999999994</v>
      </c>
      <c r="M1018">
        <v>9.99</v>
      </c>
      <c r="N1018">
        <v>765</v>
      </c>
      <c r="O1018" t="s">
        <v>31</v>
      </c>
      <c r="P1018">
        <v>38880</v>
      </c>
    </row>
    <row r="1019" spans="1:16" x14ac:dyDescent="0.35">
      <c r="A1019">
        <v>247</v>
      </c>
      <c r="B1019">
        <v>1831</v>
      </c>
      <c r="C1019" t="str">
        <f>IF(book_sales[[#This Row],[Publishing Year]]&lt;1900,"Classic (Before 1900)",IF(book_sales[[#This Row],[Publishing Year]]&lt;2000,"20th Century (1900-1999)","21st Century (2000+)"))</f>
        <v>Classic (Before 1900)</v>
      </c>
      <c r="D1019" t="s">
        <v>473</v>
      </c>
      <c r="E1019" t="s">
        <v>474</v>
      </c>
      <c r="F1019" t="s">
        <v>23</v>
      </c>
      <c r="G1019" t="s">
        <v>24</v>
      </c>
      <c r="H1019">
        <v>3.97</v>
      </c>
      <c r="I1019">
        <v>119851</v>
      </c>
      <c r="J1019" t="s">
        <v>41</v>
      </c>
      <c r="K1019">
        <v>3013.71</v>
      </c>
      <c r="L1019">
        <v>1808.2260000000001</v>
      </c>
      <c r="M1019">
        <v>7.91</v>
      </c>
      <c r="N1019">
        <v>271</v>
      </c>
      <c r="O1019" t="s">
        <v>27</v>
      </c>
      <c r="P1019">
        <v>381</v>
      </c>
    </row>
    <row r="1020" spans="1:16" x14ac:dyDescent="0.35">
      <c r="A1020">
        <v>5</v>
      </c>
      <c r="B1020">
        <v>2015</v>
      </c>
      <c r="C1020" t="str">
        <f>IF(book_sales[[#This Row],[Publishing Year]]&lt;1900,"Classic (Before 1900)",IF(book_sales[[#This Row],[Publishing Year]]&lt;2000,"20th Century (1900-1999)","21st Century (2000+)"))</f>
        <v>21st Century (2000+)</v>
      </c>
      <c r="D1020" t="s">
        <v>35</v>
      </c>
      <c r="E1020" t="s">
        <v>36</v>
      </c>
      <c r="F1020" t="s">
        <v>23</v>
      </c>
      <c r="G1020" t="s">
        <v>24</v>
      </c>
      <c r="H1020">
        <v>4.08</v>
      </c>
      <c r="I1020">
        <v>83354</v>
      </c>
      <c r="J1020" t="s">
        <v>19</v>
      </c>
      <c r="K1020">
        <v>19960</v>
      </c>
      <c r="L1020">
        <v>0</v>
      </c>
      <c r="M1020">
        <v>4.99</v>
      </c>
      <c r="N1020">
        <v>5</v>
      </c>
      <c r="O1020" t="s">
        <v>27</v>
      </c>
      <c r="P1020">
        <v>4000</v>
      </c>
    </row>
    <row r="1021" spans="1:16" x14ac:dyDescent="0.35">
      <c r="A1021">
        <v>444</v>
      </c>
      <c r="B1021">
        <v>1974</v>
      </c>
      <c r="C1021" t="str">
        <f>IF(book_sales[[#This Row],[Publishing Year]]&lt;1900,"Classic (Before 1900)",IF(book_sales[[#This Row],[Publishing Year]]&lt;2000,"20th Century (1900-1999)","21st Century (2000+)"))</f>
        <v>20th Century (1900-1999)</v>
      </c>
      <c r="D1021" t="s">
        <v>823</v>
      </c>
      <c r="E1021" t="s">
        <v>824</v>
      </c>
      <c r="F1021" t="s">
        <v>92</v>
      </c>
      <c r="G1021" t="s">
        <v>24</v>
      </c>
      <c r="H1021">
        <v>4</v>
      </c>
      <c r="I1021">
        <v>92158</v>
      </c>
      <c r="J1021" t="s">
        <v>19</v>
      </c>
      <c r="K1021">
        <v>176.22</v>
      </c>
      <c r="L1021">
        <v>0</v>
      </c>
      <c r="M1021">
        <v>0.99</v>
      </c>
      <c r="N1021">
        <v>493</v>
      </c>
      <c r="O1021" t="s">
        <v>27</v>
      </c>
      <c r="P1021">
        <v>4806</v>
      </c>
    </row>
    <row r="1022" spans="1:16" x14ac:dyDescent="0.35">
      <c r="A1022">
        <v>749</v>
      </c>
      <c r="B1022">
        <v>-17</v>
      </c>
      <c r="C1022" t="str">
        <f>IF(book_sales[[#This Row],[Publishing Year]]&lt;1900,"Classic (Before 1900)",IF(book_sales[[#This Row],[Publishing Year]]&lt;2000,"20th Century (1900-1999)","21st Century (2000+)"))</f>
        <v>Classic (Before 1900)</v>
      </c>
      <c r="D1022" t="s">
        <v>1317</v>
      </c>
      <c r="E1022" t="s">
        <v>1318</v>
      </c>
      <c r="F1022" t="s">
        <v>23</v>
      </c>
      <c r="G1022" t="s">
        <v>24</v>
      </c>
      <c r="H1022">
        <v>3.81</v>
      </c>
      <c r="I1022">
        <v>75051</v>
      </c>
      <c r="J1022" t="s">
        <v>19</v>
      </c>
      <c r="K1022">
        <v>114.84</v>
      </c>
      <c r="L1022">
        <v>0</v>
      </c>
      <c r="M1022">
        <v>0.99</v>
      </c>
      <c r="N1022">
        <v>863</v>
      </c>
      <c r="O1022" t="s">
        <v>27</v>
      </c>
      <c r="P1022">
        <v>31752</v>
      </c>
    </row>
    <row r="1023" spans="1:16" x14ac:dyDescent="0.35">
      <c r="A1023">
        <v>553</v>
      </c>
      <c r="B1023">
        <v>1927</v>
      </c>
      <c r="C1023" t="str">
        <f>IF(book_sales[[#This Row],[Publishing Year]]&lt;1900,"Classic (Before 1900)",IF(book_sales[[#This Row],[Publishing Year]]&lt;2000,"20th Century (1900-1999)","21st Century (2000+)"))</f>
        <v>20th Century (1900-1999)</v>
      </c>
      <c r="D1023" t="s">
        <v>1002</v>
      </c>
      <c r="E1023" t="s">
        <v>1003</v>
      </c>
      <c r="F1023" t="s">
        <v>23</v>
      </c>
      <c r="G1023" t="s">
        <v>24</v>
      </c>
      <c r="H1023">
        <v>3.76</v>
      </c>
      <c r="I1023">
        <v>83066</v>
      </c>
      <c r="J1023" t="s">
        <v>19</v>
      </c>
      <c r="K1023">
        <v>1144.04</v>
      </c>
      <c r="L1023">
        <v>686.42399999999998</v>
      </c>
      <c r="M1023">
        <v>7.73</v>
      </c>
      <c r="N1023">
        <v>619</v>
      </c>
      <c r="O1023" t="s">
        <v>133</v>
      </c>
      <c r="P1023">
        <v>3996</v>
      </c>
    </row>
    <row r="1024" spans="1:16" x14ac:dyDescent="0.35">
      <c r="A1024">
        <v>170</v>
      </c>
      <c r="B1024">
        <v>1925</v>
      </c>
      <c r="C1024" t="str">
        <f>IF(book_sales[[#This Row],[Publishing Year]]&lt;1900,"Classic (Before 1900)",IF(book_sales[[#This Row],[Publishing Year]]&lt;2000,"20th Century (1900-1999)","21st Century (2000+)"))</f>
        <v>20th Century (1900-1999)</v>
      </c>
      <c r="D1024" t="s">
        <v>340</v>
      </c>
      <c r="E1024" t="s">
        <v>341</v>
      </c>
      <c r="F1024" t="s">
        <v>17</v>
      </c>
      <c r="G1024" t="s">
        <v>24</v>
      </c>
      <c r="H1024">
        <v>3.78</v>
      </c>
      <c r="I1024">
        <v>136327</v>
      </c>
      <c r="J1024" t="s">
        <v>19</v>
      </c>
      <c r="K1024">
        <v>1174.0999999999999</v>
      </c>
      <c r="L1024">
        <v>704.46</v>
      </c>
      <c r="M1024">
        <v>1.99</v>
      </c>
      <c r="N1024">
        <v>182</v>
      </c>
      <c r="O1024" t="s">
        <v>27</v>
      </c>
      <c r="P1024">
        <v>590</v>
      </c>
    </row>
    <row r="1025" spans="1:16" x14ac:dyDescent="0.35">
      <c r="A1025">
        <v>45</v>
      </c>
      <c r="B1025">
        <v>1759</v>
      </c>
      <c r="C1025" t="str">
        <f>IF(book_sales[[#This Row],[Publishing Year]]&lt;1900,"Classic (Before 1900)",IF(book_sales[[#This Row],[Publishing Year]]&lt;2000,"20th Century (1900-1999)","21st Century (2000+)"))</f>
        <v>Classic (Before 1900)</v>
      </c>
      <c r="D1025" t="s">
        <v>114</v>
      </c>
      <c r="E1025" t="s">
        <v>115</v>
      </c>
      <c r="F1025" t="s">
        <v>23</v>
      </c>
      <c r="G1025" t="s">
        <v>24</v>
      </c>
      <c r="H1025">
        <v>3.76</v>
      </c>
      <c r="I1025">
        <v>151471</v>
      </c>
      <c r="J1025" t="s">
        <v>19</v>
      </c>
      <c r="K1025">
        <v>8982</v>
      </c>
      <c r="L1025">
        <v>0</v>
      </c>
      <c r="M1025">
        <v>4.99</v>
      </c>
      <c r="N1025">
        <v>48</v>
      </c>
      <c r="O1025" t="s">
        <v>27</v>
      </c>
      <c r="P1025">
        <v>1800</v>
      </c>
    </row>
    <row r="1026" spans="1:16" x14ac:dyDescent="0.35">
      <c r="A1026">
        <v>940</v>
      </c>
      <c r="B1026">
        <v>2010</v>
      </c>
      <c r="C1026" t="str">
        <f>IF(book_sales[[#This Row],[Publishing Year]]&lt;1900,"Classic (Before 1900)",IF(book_sales[[#This Row],[Publishing Year]]&lt;2000,"20th Century (1900-1999)","21st Century (2000+)"))</f>
        <v>21st Century (2000+)</v>
      </c>
      <c r="D1026" t="s">
        <v>1605</v>
      </c>
      <c r="E1026" t="s">
        <v>1606</v>
      </c>
      <c r="F1026" t="s">
        <v>17</v>
      </c>
      <c r="G1026" t="s">
        <v>532</v>
      </c>
      <c r="H1026">
        <v>4.3499999999999996</v>
      </c>
      <c r="I1026">
        <v>65091</v>
      </c>
      <c r="J1026" t="s">
        <v>19</v>
      </c>
      <c r="K1026">
        <v>328.9</v>
      </c>
      <c r="L1026">
        <v>0</v>
      </c>
      <c r="M1026">
        <v>2.99</v>
      </c>
      <c r="N1026">
        <v>1105</v>
      </c>
      <c r="O1026" t="s">
        <v>27</v>
      </c>
      <c r="P1026">
        <v>4320</v>
      </c>
    </row>
    <row r="1027" spans="1:16" x14ac:dyDescent="0.35">
      <c r="A1027">
        <v>504</v>
      </c>
      <c r="B1027">
        <v>2007</v>
      </c>
      <c r="C1027" t="str">
        <f>IF(book_sales[[#This Row],[Publishing Year]]&lt;1900,"Classic (Before 1900)",IF(book_sales[[#This Row],[Publishing Year]]&lt;2000,"20th Century (1900-1999)","21st Century (2000+)"))</f>
        <v>21st Century (2000+)</v>
      </c>
      <c r="D1027" t="s">
        <v>920</v>
      </c>
      <c r="E1027" t="s">
        <v>921</v>
      </c>
      <c r="F1027" t="s">
        <v>23</v>
      </c>
      <c r="G1027" t="s">
        <v>532</v>
      </c>
      <c r="H1027">
        <v>4.08</v>
      </c>
      <c r="I1027">
        <v>71156</v>
      </c>
      <c r="J1027" t="s">
        <v>41</v>
      </c>
      <c r="K1027">
        <v>322.38</v>
      </c>
      <c r="L1027">
        <v>193.428</v>
      </c>
      <c r="M1027">
        <v>1.99</v>
      </c>
      <c r="N1027">
        <v>557</v>
      </c>
      <c r="O1027" t="s">
        <v>27</v>
      </c>
      <c r="P1027">
        <v>4374</v>
      </c>
    </row>
    <row r="1028" spans="1:16" x14ac:dyDescent="0.35">
      <c r="A1028">
        <v>802</v>
      </c>
      <c r="B1028">
        <v>2003</v>
      </c>
      <c r="C1028" t="str">
        <f>IF(book_sales[[#This Row],[Publishing Year]]&lt;1900,"Classic (Before 1900)",IF(book_sales[[#This Row],[Publishing Year]]&lt;2000,"20th Century (1900-1999)","21st Century (2000+)"))</f>
        <v>21st Century (2000+)</v>
      </c>
      <c r="D1028" t="s">
        <v>1407</v>
      </c>
      <c r="E1028" t="s">
        <v>921</v>
      </c>
      <c r="F1028" t="s">
        <v>23</v>
      </c>
      <c r="G1028" t="s">
        <v>24</v>
      </c>
      <c r="H1028">
        <v>3.96</v>
      </c>
      <c r="I1028">
        <v>70335</v>
      </c>
      <c r="J1028" t="s">
        <v>19</v>
      </c>
      <c r="K1028">
        <v>573.85</v>
      </c>
      <c r="L1028">
        <v>344.31</v>
      </c>
      <c r="M1028">
        <v>4.99</v>
      </c>
      <c r="N1028">
        <v>933</v>
      </c>
      <c r="O1028" t="s">
        <v>133</v>
      </c>
      <c r="P1028">
        <v>2916</v>
      </c>
    </row>
    <row r="1029" spans="1:16" x14ac:dyDescent="0.35">
      <c r="A1029">
        <v>989</v>
      </c>
      <c r="B1029">
        <v>1959</v>
      </c>
      <c r="C1029" t="str">
        <f>IF(book_sales[[#This Row],[Publishing Year]]&lt;1900,"Classic (Before 1900)",IF(book_sales[[#This Row],[Publishing Year]]&lt;2000,"20th Century (1900-1999)","21st Century (2000+)"))</f>
        <v>20th Century (1900-1999)</v>
      </c>
      <c r="D1029" t="s">
        <v>1681</v>
      </c>
      <c r="E1029" t="s">
        <v>1682</v>
      </c>
      <c r="F1029" t="s">
        <v>23</v>
      </c>
      <c r="G1029" t="s">
        <v>24</v>
      </c>
      <c r="H1029">
        <v>3.97</v>
      </c>
      <c r="I1029">
        <v>66721</v>
      </c>
      <c r="J1029" t="s">
        <v>19</v>
      </c>
      <c r="K1029">
        <v>106.92</v>
      </c>
      <c r="L1029">
        <v>0</v>
      </c>
      <c r="M1029">
        <v>0.99</v>
      </c>
      <c r="N1029">
        <v>1167</v>
      </c>
      <c r="O1029" t="s">
        <v>27</v>
      </c>
      <c r="P1029">
        <v>108</v>
      </c>
    </row>
    <row r="1030" spans="1:16" x14ac:dyDescent="0.35">
      <c r="A1030">
        <v>680</v>
      </c>
      <c r="B1030">
        <v>1930</v>
      </c>
      <c r="C1030" t="str">
        <f>IF(book_sales[[#This Row],[Publishing Year]]&lt;1900,"Classic (Before 1900)",IF(book_sales[[#This Row],[Publishing Year]]&lt;2000,"20th Century (1900-1999)","21st Century (2000+)"))</f>
        <v>20th Century (1900-1999)</v>
      </c>
      <c r="D1030" t="s">
        <v>1211</v>
      </c>
      <c r="E1030" t="s">
        <v>1212</v>
      </c>
      <c r="F1030" t="s">
        <v>17</v>
      </c>
      <c r="G1030" t="s">
        <v>532</v>
      </c>
      <c r="H1030">
        <v>4.1500000000000004</v>
      </c>
      <c r="I1030">
        <v>82102</v>
      </c>
      <c r="J1030" t="s">
        <v>19</v>
      </c>
      <c r="K1030">
        <v>593.80999999999995</v>
      </c>
      <c r="L1030">
        <v>0</v>
      </c>
      <c r="M1030">
        <v>4.99</v>
      </c>
      <c r="N1030">
        <v>783</v>
      </c>
      <c r="O1030" t="s">
        <v>27</v>
      </c>
      <c r="P1030">
        <v>37152</v>
      </c>
    </row>
    <row r="1031" spans="1:16" x14ac:dyDescent="0.35">
      <c r="A1031">
        <v>914</v>
      </c>
      <c r="B1031">
        <v>2001</v>
      </c>
      <c r="C1031" t="str">
        <f>IF(book_sales[[#This Row],[Publishing Year]]&lt;1900,"Classic (Before 1900)",IF(book_sales[[#This Row],[Publishing Year]]&lt;2000,"20th Century (1900-1999)","21st Century (2000+)"))</f>
        <v>21st Century (2000+)</v>
      </c>
      <c r="D1031" t="s">
        <v>1562</v>
      </c>
      <c r="E1031" t="s">
        <v>1563</v>
      </c>
      <c r="F1031" t="s">
        <v>17</v>
      </c>
      <c r="G1031" t="s">
        <v>24</v>
      </c>
      <c r="H1031">
        <v>3.94</v>
      </c>
      <c r="I1031">
        <v>79264</v>
      </c>
      <c r="J1031" t="s">
        <v>41</v>
      </c>
      <c r="K1031">
        <v>109.89</v>
      </c>
      <c r="L1031">
        <v>0</v>
      </c>
      <c r="M1031">
        <v>0.99</v>
      </c>
      <c r="N1031">
        <v>1072</v>
      </c>
      <c r="O1031" t="s">
        <v>27</v>
      </c>
      <c r="P1031">
        <v>4360</v>
      </c>
    </row>
    <row r="1032" spans="1:16" x14ac:dyDescent="0.35">
      <c r="A1032">
        <v>533</v>
      </c>
      <c r="B1032">
        <v>1859</v>
      </c>
      <c r="C1032" t="str">
        <f>IF(book_sales[[#This Row],[Publishing Year]]&lt;1900,"Classic (Before 1900)",IF(book_sales[[#This Row],[Publishing Year]]&lt;2000,"20th Century (1900-1999)","21st Century (2000+)"))</f>
        <v>Classic (Before 1900)</v>
      </c>
      <c r="D1032" t="s">
        <v>967</v>
      </c>
      <c r="E1032" t="s">
        <v>968</v>
      </c>
      <c r="F1032" t="s">
        <v>23</v>
      </c>
      <c r="G1032" t="s">
        <v>24</v>
      </c>
      <c r="H1032">
        <v>3.98</v>
      </c>
      <c r="I1032">
        <v>93134</v>
      </c>
      <c r="J1032" t="s">
        <v>19</v>
      </c>
      <c r="K1032">
        <v>768.46</v>
      </c>
      <c r="L1032">
        <v>0</v>
      </c>
      <c r="M1032">
        <v>4.99</v>
      </c>
      <c r="N1032">
        <v>594</v>
      </c>
      <c r="O1032" t="s">
        <v>27</v>
      </c>
      <c r="P1032">
        <v>4158</v>
      </c>
    </row>
    <row r="1033" spans="1:16" x14ac:dyDescent="0.35">
      <c r="A1033">
        <v>563</v>
      </c>
      <c r="B1033">
        <v>1918</v>
      </c>
      <c r="C1033" t="str">
        <f>IF(book_sales[[#This Row],[Publishing Year]]&lt;1900,"Classic (Before 1900)",IF(book_sales[[#This Row],[Publishing Year]]&lt;2000,"20th Century (1900-1999)","21st Century (2000+)"))</f>
        <v>20th Century (1900-1999)</v>
      </c>
      <c r="D1033" t="s">
        <v>1020</v>
      </c>
      <c r="E1033" t="s">
        <v>1021</v>
      </c>
      <c r="F1033" t="s">
        <v>23</v>
      </c>
      <c r="G1033" t="s">
        <v>24</v>
      </c>
      <c r="H1033">
        <v>3.76</v>
      </c>
      <c r="I1033">
        <v>81102</v>
      </c>
      <c r="J1033" t="s">
        <v>19</v>
      </c>
      <c r="K1033">
        <v>582.54</v>
      </c>
      <c r="L1033">
        <v>0</v>
      </c>
      <c r="M1033">
        <v>3.99</v>
      </c>
      <c r="N1033">
        <v>629</v>
      </c>
      <c r="O1033" t="s">
        <v>27</v>
      </c>
      <c r="P1033">
        <v>3942</v>
      </c>
    </row>
    <row r="1034" spans="1:16" x14ac:dyDescent="0.35">
      <c r="A1034">
        <v>187</v>
      </c>
      <c r="B1034">
        <v>1929</v>
      </c>
      <c r="C1034" t="str">
        <f>IF(book_sales[[#This Row],[Publishing Year]]&lt;1900,"Classic (Before 1900)",IF(book_sales[[#This Row],[Publishing Year]]&lt;2000,"20th Century (1900-1999)","21st Century (2000+)"))</f>
        <v>20th Century (1900-1999)</v>
      </c>
      <c r="D1034" t="s">
        <v>368</v>
      </c>
      <c r="E1034" t="s">
        <v>369</v>
      </c>
      <c r="F1034" t="s">
        <v>23</v>
      </c>
      <c r="G1034" t="s">
        <v>24</v>
      </c>
      <c r="H1034">
        <v>3.86</v>
      </c>
      <c r="I1034">
        <v>124665</v>
      </c>
      <c r="J1034" t="s">
        <v>19</v>
      </c>
      <c r="K1034">
        <v>2445.1</v>
      </c>
      <c r="L1034">
        <v>1467.06</v>
      </c>
      <c r="M1034">
        <v>4.99</v>
      </c>
      <c r="N1034">
        <v>206</v>
      </c>
      <c r="O1034" t="s">
        <v>31</v>
      </c>
      <c r="P1034">
        <v>490</v>
      </c>
    </row>
    <row r="1035" spans="1:16" x14ac:dyDescent="0.35">
      <c r="A1035">
        <v>356</v>
      </c>
      <c r="B1035">
        <v>1930</v>
      </c>
      <c r="C1035" t="str">
        <f>IF(book_sales[[#This Row],[Publishing Year]]&lt;1900,"Classic (Before 1900)",IF(book_sales[[#This Row],[Publishing Year]]&lt;2000,"20th Century (1900-1999)","21st Century (2000+)"))</f>
        <v>20th Century (1900-1999)</v>
      </c>
      <c r="D1035" t="s">
        <v>673</v>
      </c>
      <c r="E1035" t="s">
        <v>369</v>
      </c>
      <c r="F1035" t="s">
        <v>23</v>
      </c>
      <c r="G1035" t="s">
        <v>24</v>
      </c>
      <c r="H1035">
        <v>3.72</v>
      </c>
      <c r="I1035">
        <v>103547</v>
      </c>
      <c r="J1035" t="s">
        <v>41</v>
      </c>
      <c r="K1035">
        <v>461.68</v>
      </c>
      <c r="L1035">
        <v>277.00799999999998</v>
      </c>
      <c r="M1035">
        <v>1.99</v>
      </c>
      <c r="N1035">
        <v>385</v>
      </c>
      <c r="O1035" t="s">
        <v>20</v>
      </c>
      <c r="P1035">
        <v>6264</v>
      </c>
    </row>
    <row r="1036" spans="1:16" x14ac:dyDescent="0.35">
      <c r="A1036">
        <v>889</v>
      </c>
      <c r="B1036">
        <v>1960</v>
      </c>
      <c r="C1036" t="str">
        <f>IF(book_sales[[#This Row],[Publishing Year]]&lt;1900,"Classic (Before 1900)",IF(book_sales[[#This Row],[Publishing Year]]&lt;2000,"20th Century (1900-1999)","21st Century (2000+)"))</f>
        <v>20th Century (1900-1999)</v>
      </c>
      <c r="D1036" t="s">
        <v>1526</v>
      </c>
      <c r="E1036" t="s">
        <v>1527</v>
      </c>
      <c r="F1036" t="s">
        <v>23</v>
      </c>
      <c r="G1036" t="s">
        <v>532</v>
      </c>
      <c r="H1036">
        <v>4.1500000000000004</v>
      </c>
      <c r="I1036">
        <v>64391</v>
      </c>
      <c r="J1036" t="s">
        <v>19</v>
      </c>
      <c r="K1036">
        <v>334.88</v>
      </c>
      <c r="L1036">
        <v>200.928</v>
      </c>
      <c r="M1036">
        <v>2.99</v>
      </c>
      <c r="N1036">
        <v>1044</v>
      </c>
      <c r="O1036" t="s">
        <v>20</v>
      </c>
      <c r="P1036">
        <v>4440</v>
      </c>
    </row>
    <row r="1037" spans="1:16" x14ac:dyDescent="0.35">
      <c r="A1037">
        <v>542</v>
      </c>
      <c r="B1037">
        <v>1847</v>
      </c>
      <c r="C1037" t="str">
        <f>IF(book_sales[[#This Row],[Publishing Year]]&lt;1900,"Classic (Before 1900)",IF(book_sales[[#This Row],[Publishing Year]]&lt;2000,"20th Century (1900-1999)","21st Century (2000+)"))</f>
        <v>Classic (Before 1900)</v>
      </c>
      <c r="D1037" t="s">
        <v>981</v>
      </c>
      <c r="E1037" t="s">
        <v>982</v>
      </c>
      <c r="F1037" t="s">
        <v>23</v>
      </c>
      <c r="G1037" t="s">
        <v>24</v>
      </c>
      <c r="H1037">
        <v>3.76</v>
      </c>
      <c r="I1037">
        <v>91323</v>
      </c>
      <c r="J1037" t="s">
        <v>19</v>
      </c>
      <c r="K1037">
        <v>149.49</v>
      </c>
      <c r="L1037">
        <v>0</v>
      </c>
      <c r="M1037">
        <v>0.99</v>
      </c>
      <c r="N1037">
        <v>605</v>
      </c>
      <c r="O1037" t="s">
        <v>27</v>
      </c>
      <c r="P1037">
        <v>4077</v>
      </c>
    </row>
    <row r="1038" spans="1:16" x14ac:dyDescent="0.35">
      <c r="A1038">
        <v>200</v>
      </c>
      <c r="B1038">
        <v>1971</v>
      </c>
      <c r="C1038" t="str">
        <f>IF(book_sales[[#This Row],[Publishing Year]]&lt;1900,"Classic (Before 1900)",IF(book_sales[[#This Row],[Publishing Year]]&lt;2000,"20th Century (1900-1999)","21st Century (2000+)"))</f>
        <v>20th Century (1900-1999)</v>
      </c>
      <c r="D1038" t="s">
        <v>392</v>
      </c>
      <c r="E1038" t="s">
        <v>393</v>
      </c>
      <c r="F1038" t="s">
        <v>17</v>
      </c>
      <c r="G1038" t="s">
        <v>24</v>
      </c>
      <c r="H1038">
        <v>4.1399999999999997</v>
      </c>
      <c r="I1038">
        <v>124467</v>
      </c>
      <c r="J1038" t="s">
        <v>19</v>
      </c>
      <c r="K1038">
        <v>1399.32</v>
      </c>
      <c r="L1038">
        <v>0</v>
      </c>
      <c r="M1038">
        <v>2.99</v>
      </c>
      <c r="N1038">
        <v>219</v>
      </c>
      <c r="O1038" t="s">
        <v>27</v>
      </c>
      <c r="P1038">
        <v>468</v>
      </c>
    </row>
    <row r="1039" spans="1:16" x14ac:dyDescent="0.35">
      <c r="A1039">
        <v>1040</v>
      </c>
      <c r="B1039">
        <v>1959</v>
      </c>
      <c r="C1039" t="str">
        <f>IF(book_sales[[#This Row],[Publishing Year]]&lt;1900,"Classic (Before 1900)",IF(book_sales[[#This Row],[Publishing Year]]&lt;2000,"20th Century (1900-1999)","21st Century (2000+)"))</f>
        <v>20th Century (1900-1999)</v>
      </c>
      <c r="D1039" t="s">
        <v>1758</v>
      </c>
      <c r="E1039" t="s">
        <v>1759</v>
      </c>
      <c r="F1039" t="s">
        <v>17</v>
      </c>
      <c r="G1039" t="s">
        <v>18</v>
      </c>
      <c r="H1039">
        <v>3.46</v>
      </c>
      <c r="I1039">
        <v>55473</v>
      </c>
      <c r="J1039" t="s">
        <v>19</v>
      </c>
      <c r="K1039">
        <v>529.65</v>
      </c>
      <c r="L1039">
        <v>317.79000000000002</v>
      </c>
      <c r="M1039">
        <v>4.95</v>
      </c>
      <c r="N1039">
        <v>1226</v>
      </c>
      <c r="O1039" t="s">
        <v>27</v>
      </c>
      <c r="P1039">
        <v>107</v>
      </c>
    </row>
    <row r="1040" spans="1:16" x14ac:dyDescent="0.35">
      <c r="A1040">
        <v>183</v>
      </c>
      <c r="B1040">
        <v>1603</v>
      </c>
      <c r="C1040" t="str">
        <f>IF(book_sales[[#This Row],[Publishing Year]]&lt;1900,"Classic (Before 1900)",IF(book_sales[[#This Row],[Publishing Year]]&lt;2000,"20th Century (1900-1999)","21st Century (2000+)"))</f>
        <v>Classic (Before 1900)</v>
      </c>
      <c r="D1040" t="s">
        <v>363</v>
      </c>
      <c r="E1040" t="s">
        <v>364</v>
      </c>
      <c r="F1040" t="s">
        <v>23</v>
      </c>
      <c r="G1040" t="s">
        <v>24</v>
      </c>
      <c r="H1040">
        <v>3.89</v>
      </c>
      <c r="I1040">
        <v>135448</v>
      </c>
      <c r="J1040" t="s">
        <v>19</v>
      </c>
      <c r="K1040">
        <v>2014.95</v>
      </c>
      <c r="L1040">
        <v>1208.97</v>
      </c>
      <c r="M1040">
        <v>3.99</v>
      </c>
      <c r="N1040">
        <v>199</v>
      </c>
      <c r="O1040" t="s">
        <v>27</v>
      </c>
      <c r="P1040">
        <v>505</v>
      </c>
    </row>
    <row r="1041" spans="1:16" x14ac:dyDescent="0.35">
      <c r="A1041">
        <v>242</v>
      </c>
      <c r="B1041">
        <v>1593</v>
      </c>
      <c r="C1041" t="str">
        <f>IF(book_sales[[#This Row],[Publishing Year]]&lt;1900,"Classic (Before 1900)",IF(book_sales[[#This Row],[Publishing Year]]&lt;2000,"20th Century (1900-1999)","21st Century (2000+)"))</f>
        <v>Classic (Before 1900)</v>
      </c>
      <c r="D1041" t="s">
        <v>467</v>
      </c>
      <c r="E1041" t="s">
        <v>364</v>
      </c>
      <c r="F1041" t="s">
        <v>17</v>
      </c>
      <c r="G1041" t="s">
        <v>24</v>
      </c>
      <c r="H1041">
        <v>3.81</v>
      </c>
      <c r="I1041">
        <v>126318</v>
      </c>
      <c r="J1041" t="s">
        <v>41</v>
      </c>
      <c r="K1041">
        <v>2726.1</v>
      </c>
      <c r="L1041">
        <v>1635.66</v>
      </c>
      <c r="M1041">
        <v>6.99</v>
      </c>
      <c r="N1041">
        <v>266</v>
      </c>
      <c r="O1041" t="s">
        <v>31</v>
      </c>
      <c r="P1041">
        <v>390</v>
      </c>
    </row>
    <row r="1042" spans="1:16" x14ac:dyDescent="0.35">
      <c r="A1042">
        <v>273</v>
      </c>
      <c r="B1042">
        <v>1623</v>
      </c>
      <c r="C1042" t="str">
        <f>IF(book_sales[[#This Row],[Publishing Year]]&lt;1900,"Classic (Before 1900)",IF(book_sales[[#This Row],[Publishing Year]]&lt;2000,"20th Century (1900-1999)","21st Century (2000+)"))</f>
        <v>Classic (Before 1900)</v>
      </c>
      <c r="D1042" t="s">
        <v>520</v>
      </c>
      <c r="E1042" t="s">
        <v>364</v>
      </c>
      <c r="F1042" t="s">
        <v>17</v>
      </c>
      <c r="G1042" t="s">
        <v>24</v>
      </c>
      <c r="H1042">
        <v>3.8</v>
      </c>
      <c r="I1042">
        <v>125178</v>
      </c>
      <c r="J1042" t="s">
        <v>19</v>
      </c>
      <c r="K1042">
        <v>1025.57</v>
      </c>
      <c r="L1042">
        <v>0</v>
      </c>
      <c r="M1042">
        <v>2.99</v>
      </c>
      <c r="N1042">
        <v>294</v>
      </c>
      <c r="O1042" t="s">
        <v>27</v>
      </c>
      <c r="P1042">
        <v>343</v>
      </c>
    </row>
    <row r="1043" spans="1:16" x14ac:dyDescent="0.35">
      <c r="A1043">
        <v>324</v>
      </c>
      <c r="B1043">
        <v>1601</v>
      </c>
      <c r="C1043" t="str">
        <f>IF(book_sales[[#This Row],[Publishing Year]]&lt;1900,"Classic (Before 1900)",IF(book_sales[[#This Row],[Publishing Year]]&lt;2000,"20th Century (1900-1999)","21st Century (2000+)"))</f>
        <v>Classic (Before 1900)</v>
      </c>
      <c r="D1043" t="s">
        <v>615</v>
      </c>
      <c r="E1043" t="s">
        <v>364</v>
      </c>
      <c r="F1043" t="s">
        <v>23</v>
      </c>
      <c r="G1043" t="s">
        <v>24</v>
      </c>
      <c r="H1043">
        <v>3.97</v>
      </c>
      <c r="I1043">
        <v>119607</v>
      </c>
      <c r="J1043" t="s">
        <v>19</v>
      </c>
      <c r="K1043">
        <v>1527.45</v>
      </c>
      <c r="L1043">
        <v>916.47</v>
      </c>
      <c r="M1043">
        <v>5.99</v>
      </c>
      <c r="N1043">
        <v>347</v>
      </c>
      <c r="O1043" t="s">
        <v>34</v>
      </c>
      <c r="P1043">
        <v>255</v>
      </c>
    </row>
    <row r="1044" spans="1:16" x14ac:dyDescent="0.35">
      <c r="A1044">
        <v>308</v>
      </c>
      <c r="B1044">
        <v>1596</v>
      </c>
      <c r="C1044" t="str">
        <f>IF(book_sales[[#This Row],[Publishing Year]]&lt;1900,"Classic (Before 1900)",IF(book_sales[[#This Row],[Publishing Year]]&lt;2000,"20th Century (1900-1999)","21st Century (2000+)"))</f>
        <v>Classic (Before 1900)</v>
      </c>
      <c r="D1044" t="s">
        <v>584</v>
      </c>
      <c r="E1044" t="s">
        <v>585</v>
      </c>
      <c r="F1044" t="s">
        <v>23</v>
      </c>
      <c r="G1044" t="s">
        <v>24</v>
      </c>
      <c r="H1044">
        <v>3.78</v>
      </c>
      <c r="I1044">
        <v>115621</v>
      </c>
      <c r="J1044" t="s">
        <v>19</v>
      </c>
      <c r="K1044">
        <v>427.5</v>
      </c>
      <c r="L1044">
        <v>0</v>
      </c>
      <c r="M1044">
        <v>1.5</v>
      </c>
      <c r="N1044">
        <v>329</v>
      </c>
      <c r="O1044" t="s">
        <v>27</v>
      </c>
      <c r="P1044">
        <v>285</v>
      </c>
    </row>
    <row r="1045" spans="1:16" x14ac:dyDescent="0.35">
      <c r="A1045">
        <v>239</v>
      </c>
      <c r="B1045">
        <v>1599</v>
      </c>
      <c r="C1045" t="str">
        <f>IF(book_sales[[#This Row],[Publishing Year]]&lt;1900,"Classic (Before 1900)",IF(book_sales[[#This Row],[Publishing Year]]&lt;2000,"20th Century (1900-1999)","21st Century (2000+)"))</f>
        <v>Classic (Before 1900)</v>
      </c>
      <c r="D1045" t="s">
        <v>461</v>
      </c>
      <c r="E1045" t="s">
        <v>462</v>
      </c>
      <c r="F1045" t="s">
        <v>23</v>
      </c>
      <c r="G1045" t="s">
        <v>24</v>
      </c>
      <c r="H1045">
        <v>3.65</v>
      </c>
      <c r="I1045">
        <v>119933</v>
      </c>
      <c r="J1045" t="s">
        <v>19</v>
      </c>
      <c r="K1045">
        <v>392.04</v>
      </c>
      <c r="L1045">
        <v>235.22399999999999</v>
      </c>
      <c r="M1045">
        <v>0.99</v>
      </c>
      <c r="N1045">
        <v>262</v>
      </c>
      <c r="O1045" t="s">
        <v>27</v>
      </c>
      <c r="P1045">
        <v>396</v>
      </c>
    </row>
    <row r="1046" spans="1:16" x14ac:dyDescent="0.35">
      <c r="A1046">
        <v>904</v>
      </c>
      <c r="B1046">
        <v>1979</v>
      </c>
      <c r="C1046" t="str">
        <f>IF(book_sales[[#This Row],[Publishing Year]]&lt;1900,"Classic (Before 1900)",IF(book_sales[[#This Row],[Publishing Year]]&lt;2000,"20th Century (1900-1999)","21st Century (2000+)"))</f>
        <v>20th Century (1900-1999)</v>
      </c>
      <c r="D1046" t="s">
        <v>1547</v>
      </c>
      <c r="E1046" t="s">
        <v>1548</v>
      </c>
      <c r="F1046" t="s">
        <v>23</v>
      </c>
      <c r="G1046" t="s">
        <v>532</v>
      </c>
      <c r="H1046">
        <v>4.18</v>
      </c>
      <c r="I1046">
        <v>66923</v>
      </c>
      <c r="J1046" t="s">
        <v>41</v>
      </c>
      <c r="K1046">
        <v>220.89</v>
      </c>
      <c r="L1046">
        <v>132.53399999999999</v>
      </c>
      <c r="M1046">
        <v>1.99</v>
      </c>
      <c r="N1046">
        <v>1059</v>
      </c>
      <c r="O1046" t="s">
        <v>27</v>
      </c>
      <c r="P1046">
        <v>4400</v>
      </c>
    </row>
    <row r="1047" spans="1:16" x14ac:dyDescent="0.35">
      <c r="A1047">
        <v>821</v>
      </c>
      <c r="B1047">
        <v>2007</v>
      </c>
      <c r="C1047" t="str">
        <f>IF(book_sales[[#This Row],[Publishing Year]]&lt;1900,"Classic (Before 1900)",IF(book_sales[[#This Row],[Publishing Year]]&lt;2000,"20th Century (1900-1999)","21st Century (2000+)"))</f>
        <v>21st Century (2000+)</v>
      </c>
      <c r="D1047" t="s">
        <v>1430</v>
      </c>
      <c r="E1047" t="s">
        <v>1431</v>
      </c>
      <c r="F1047" t="s">
        <v>23</v>
      </c>
      <c r="G1047" t="s">
        <v>532</v>
      </c>
      <c r="H1047">
        <v>4.37</v>
      </c>
      <c r="I1047">
        <v>74378</v>
      </c>
      <c r="J1047" t="s">
        <v>41</v>
      </c>
      <c r="K1047">
        <v>1366.86</v>
      </c>
      <c r="L1047">
        <v>820.11599999999999</v>
      </c>
      <c r="M1047">
        <v>11.99</v>
      </c>
      <c r="N1047">
        <v>960</v>
      </c>
      <c r="O1047" t="s">
        <v>34</v>
      </c>
      <c r="P1047">
        <v>2889</v>
      </c>
    </row>
    <row r="1048" spans="1:16" x14ac:dyDescent="0.35">
      <c r="A1048">
        <v>474</v>
      </c>
      <c r="B1048">
        <v>1999</v>
      </c>
      <c r="C1048" t="str">
        <f>IF(book_sales[[#This Row],[Publishing Year]]&lt;1900,"Classic (Before 1900)",IF(book_sales[[#This Row],[Publishing Year]]&lt;2000,"20th Century (1900-1999)","21st Century (2000+)"))</f>
        <v>20th Century (1900-1999)</v>
      </c>
      <c r="D1048" t="s">
        <v>874</v>
      </c>
      <c r="E1048" t="s">
        <v>875</v>
      </c>
      <c r="F1048" t="s">
        <v>17</v>
      </c>
      <c r="G1048" t="s">
        <v>24</v>
      </c>
      <c r="H1048">
        <v>3.75</v>
      </c>
      <c r="I1048">
        <v>82474</v>
      </c>
      <c r="J1048" t="s">
        <v>30</v>
      </c>
      <c r="K1048">
        <v>167.31</v>
      </c>
      <c r="L1048">
        <v>100.386</v>
      </c>
      <c r="M1048">
        <v>0.99</v>
      </c>
      <c r="N1048">
        <v>524</v>
      </c>
      <c r="O1048" t="s">
        <v>27</v>
      </c>
      <c r="P1048">
        <v>4563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DBD83-68B8-41D1-9FA8-00C2DAFA89D4}">
  <dimension ref="A2:J64"/>
  <sheetViews>
    <sheetView zoomScale="55" zoomScaleNormal="55" workbookViewId="0">
      <selection activeCell="H43" sqref="H43"/>
    </sheetView>
  </sheetViews>
  <sheetFormatPr defaultRowHeight="14.5" x14ac:dyDescent="0.35"/>
  <cols>
    <col min="2" max="2" width="14.453125" bestFit="1" customWidth="1"/>
    <col min="3" max="3" width="18.36328125" bestFit="1" customWidth="1"/>
    <col min="4" max="4" width="14.90625" customWidth="1"/>
    <col min="5" max="5" width="14.453125" bestFit="1" customWidth="1"/>
    <col min="6" max="6" width="18.6328125" bestFit="1" customWidth="1"/>
    <col min="7" max="7" width="16" bestFit="1" customWidth="1"/>
    <col min="8" max="8" width="19.7265625" bestFit="1" customWidth="1"/>
    <col min="9" max="9" width="37.08984375" bestFit="1" customWidth="1"/>
    <col min="10" max="10" width="18.6328125" bestFit="1" customWidth="1"/>
  </cols>
  <sheetData>
    <row r="2" spans="2:10" x14ac:dyDescent="0.35">
      <c r="B2" t="s">
        <v>1812</v>
      </c>
    </row>
    <row r="3" spans="2:10" x14ac:dyDescent="0.35">
      <c r="B3" t="s">
        <v>1814</v>
      </c>
    </row>
    <row r="4" spans="2:10" x14ac:dyDescent="0.35">
      <c r="B4" t="s">
        <v>1821</v>
      </c>
    </row>
    <row r="5" spans="2:10" x14ac:dyDescent="0.35">
      <c r="B5" t="s">
        <v>1818</v>
      </c>
    </row>
    <row r="6" spans="2:10" x14ac:dyDescent="0.35">
      <c r="B6" t="s">
        <v>1815</v>
      </c>
    </row>
    <row r="7" spans="2:10" x14ac:dyDescent="0.35">
      <c r="B7" t="s">
        <v>1816</v>
      </c>
    </row>
    <row r="10" spans="2:10" x14ac:dyDescent="0.35">
      <c r="B10" t="s">
        <v>1817</v>
      </c>
      <c r="D10" t="s">
        <v>1820</v>
      </c>
      <c r="F10" t="s">
        <v>1818</v>
      </c>
      <c r="H10" t="s">
        <v>1822</v>
      </c>
      <c r="J10" t="s">
        <v>1823</v>
      </c>
    </row>
    <row r="11" spans="2:10" x14ac:dyDescent="0.35">
      <c r="B11" t="s">
        <v>1813</v>
      </c>
      <c r="D11">
        <f>COUNTA(unique!A4:A725)</f>
        <v>61</v>
      </c>
      <c r="F11">
        <f>COUNTA(unique!A730:A738)</f>
        <v>1</v>
      </c>
      <c r="H11" t="s">
        <v>1810</v>
      </c>
      <c r="J11" t="s">
        <v>1809</v>
      </c>
    </row>
    <row r="12" spans="2:10" x14ac:dyDescent="0.35">
      <c r="B12" s="8">
        <v>63</v>
      </c>
      <c r="H12" s="4">
        <v>3611.6252380952374</v>
      </c>
      <c r="J12" s="5">
        <v>8439.2222222222226</v>
      </c>
    </row>
    <row r="16" spans="2:10" x14ac:dyDescent="0.35">
      <c r="B16" t="s">
        <v>1824</v>
      </c>
      <c r="E16" s="1" t="s">
        <v>1825</v>
      </c>
    </row>
    <row r="17" spans="2:7" x14ac:dyDescent="0.35">
      <c r="B17" s="2" t="s">
        <v>1807</v>
      </c>
      <c r="C17" t="s">
        <v>1813</v>
      </c>
      <c r="E17" s="2" t="s">
        <v>1807</v>
      </c>
      <c r="F17" t="s">
        <v>1829</v>
      </c>
      <c r="G17" t="s">
        <v>1832</v>
      </c>
    </row>
    <row r="18" spans="2:7" x14ac:dyDescent="0.35">
      <c r="B18" s="3" t="s">
        <v>24</v>
      </c>
      <c r="C18" s="8">
        <v>44</v>
      </c>
      <c r="E18" s="3" t="s">
        <v>53</v>
      </c>
      <c r="F18" s="6">
        <v>4.4700000000000006</v>
      </c>
      <c r="G18" s="5">
        <v>106995</v>
      </c>
    </row>
    <row r="19" spans="2:7" x14ac:dyDescent="0.35">
      <c r="B19" s="3" t="s">
        <v>532</v>
      </c>
      <c r="C19" s="8">
        <v>16</v>
      </c>
      <c r="E19" s="3" t="s">
        <v>532</v>
      </c>
      <c r="F19" s="6">
        <v>4.1349999999999998</v>
      </c>
      <c r="G19" s="5">
        <v>82859.25</v>
      </c>
    </row>
    <row r="20" spans="2:7" x14ac:dyDescent="0.35">
      <c r="B20" s="3" t="s">
        <v>53</v>
      </c>
      <c r="C20" s="8">
        <v>2</v>
      </c>
      <c r="E20" s="3" t="s">
        <v>24</v>
      </c>
      <c r="F20" s="6">
        <v>3.8695454545454537</v>
      </c>
      <c r="G20" s="5">
        <v>105209.06818181818</v>
      </c>
    </row>
    <row r="21" spans="2:7" x14ac:dyDescent="0.35">
      <c r="B21" s="3" t="s">
        <v>18</v>
      </c>
      <c r="C21" s="8">
        <v>1</v>
      </c>
      <c r="E21" s="3" t="s">
        <v>18</v>
      </c>
      <c r="F21" s="6">
        <v>3.41</v>
      </c>
      <c r="G21" s="5">
        <v>59843</v>
      </c>
    </row>
    <row r="22" spans="2:7" x14ac:dyDescent="0.35">
      <c r="B22" s="3" t="s">
        <v>1808</v>
      </c>
      <c r="C22" s="8">
        <v>63</v>
      </c>
      <c r="E22" s="3" t="s">
        <v>1808</v>
      </c>
      <c r="F22" s="8">
        <v>3.9487301587301564</v>
      </c>
      <c r="G22" s="5">
        <v>98869.523809523816</v>
      </c>
    </row>
    <row r="25" spans="2:7" x14ac:dyDescent="0.35">
      <c r="E25" s="1" t="s">
        <v>1826</v>
      </c>
    </row>
    <row r="26" spans="2:7" x14ac:dyDescent="0.35">
      <c r="E26" s="2" t="s">
        <v>1807</v>
      </c>
      <c r="F26" t="s">
        <v>1830</v>
      </c>
      <c r="G26" t="s">
        <v>1831</v>
      </c>
    </row>
    <row r="27" spans="2:7" x14ac:dyDescent="0.35">
      <c r="E27" s="3" t="s">
        <v>532</v>
      </c>
      <c r="F27" s="5">
        <v>11107.125</v>
      </c>
      <c r="G27" s="4">
        <v>855.06375000000014</v>
      </c>
    </row>
    <row r="28" spans="2:7" x14ac:dyDescent="0.35">
      <c r="E28" s="3" t="s">
        <v>53</v>
      </c>
      <c r="F28" s="5">
        <v>18643.5</v>
      </c>
      <c r="G28" s="4">
        <v>373.59000000000003</v>
      </c>
    </row>
    <row r="29" spans="2:7" x14ac:dyDescent="0.35">
      <c r="E29" s="3" t="s">
        <v>24</v>
      </c>
      <c r="F29" s="5">
        <v>7096.136363636364</v>
      </c>
      <c r="G29" s="4">
        <v>4833.1206818181818</v>
      </c>
    </row>
    <row r="30" spans="2:7" x14ac:dyDescent="0.35">
      <c r="E30" s="3" t="s">
        <v>18</v>
      </c>
      <c r="F30" s="5">
        <v>4440</v>
      </c>
      <c r="G30" s="4">
        <v>446.88</v>
      </c>
    </row>
    <row r="31" spans="2:7" x14ac:dyDescent="0.35">
      <c r="E31" s="3" t="s">
        <v>1808</v>
      </c>
      <c r="F31" s="5">
        <v>8439.2222222222226</v>
      </c>
      <c r="G31" s="4">
        <v>3611.6252380952378</v>
      </c>
    </row>
    <row r="35" spans="5:6" x14ac:dyDescent="0.35">
      <c r="E35" s="1" t="s">
        <v>1827</v>
      </c>
    </row>
    <row r="36" spans="5:6" x14ac:dyDescent="0.35">
      <c r="E36" s="2" t="s">
        <v>1807</v>
      </c>
      <c r="F36" t="s">
        <v>1828</v>
      </c>
    </row>
    <row r="37" spans="5:6" x14ac:dyDescent="0.35">
      <c r="E37" s="3" t="s">
        <v>24</v>
      </c>
      <c r="F37" s="4">
        <v>6.8550000000000013</v>
      </c>
    </row>
    <row r="38" spans="5:6" x14ac:dyDescent="0.35">
      <c r="E38" s="3" t="s">
        <v>532</v>
      </c>
      <c r="F38" s="4">
        <v>5.7643750000000011</v>
      </c>
    </row>
    <row r="39" spans="5:6" x14ac:dyDescent="0.35">
      <c r="E39" s="3" t="s">
        <v>18</v>
      </c>
      <c r="F39" s="4">
        <v>3.99</v>
      </c>
    </row>
    <row r="40" spans="5:6" x14ac:dyDescent="0.35">
      <c r="E40" s="3" t="s">
        <v>53</v>
      </c>
      <c r="F40" s="4">
        <v>2.99</v>
      </c>
    </row>
    <row r="41" spans="5:6" x14ac:dyDescent="0.35">
      <c r="E41" s="3" t="s">
        <v>1808</v>
      </c>
      <c r="F41" s="4">
        <v>6.4098412698412721</v>
      </c>
    </row>
    <row r="64" spans="1:1" x14ac:dyDescent="0.35">
      <c r="A64" s="1"/>
    </row>
  </sheetData>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A781-1A35-4A83-B575-09246C5B896B}">
  <dimension ref="A1"/>
  <sheetViews>
    <sheetView topLeftCell="A39" zoomScale="47" zoomScaleNormal="60" workbookViewId="0">
      <selection activeCell="AF66" sqref="AF66"/>
    </sheetView>
  </sheetViews>
  <sheetFormatPr defaultRowHeight="14.5" x14ac:dyDescent="0.35"/>
  <cols>
    <col min="1" max="2" width="8.6328125" style="7" customWidth="1"/>
    <col min="3" max="3" width="8.7265625" style="7" customWidth="1"/>
    <col min="4" max="30" width="8.7265625" style="7"/>
    <col min="31" max="31" width="4.54296875" style="7" customWidth="1"/>
    <col min="32" max="33" width="8.7265625" style="7"/>
    <col min="34" max="34" width="4.54296875" style="7" customWidth="1"/>
    <col min="35"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3C75-C215-47CD-8646-DC4255292E50}">
  <dimension ref="A2:A730"/>
  <sheetViews>
    <sheetView workbookViewId="0">
      <selection activeCell="A726" sqref="A726"/>
    </sheetView>
  </sheetViews>
  <sheetFormatPr defaultRowHeight="14.5" x14ac:dyDescent="0.35"/>
  <cols>
    <col min="1" max="1" width="18.81640625" bestFit="1" customWidth="1"/>
  </cols>
  <sheetData>
    <row r="2" spans="1:1" x14ac:dyDescent="0.35">
      <c r="A2" s="1" t="s">
        <v>1811</v>
      </c>
    </row>
    <row r="3" spans="1:1" x14ac:dyDescent="0.35">
      <c r="A3" s="2" t="s">
        <v>1807</v>
      </c>
    </row>
    <row r="4" spans="1:1" x14ac:dyDescent="0.35">
      <c r="A4" s="3" t="s">
        <v>1679</v>
      </c>
    </row>
    <row r="5" spans="1:1" x14ac:dyDescent="0.35">
      <c r="A5" s="3" t="s">
        <v>1784</v>
      </c>
    </row>
    <row r="6" spans="1:1" x14ac:dyDescent="0.35">
      <c r="A6" s="3" t="s">
        <v>1657</v>
      </c>
    </row>
    <row r="7" spans="1:1" x14ac:dyDescent="0.35">
      <c r="A7" s="3" t="s">
        <v>265</v>
      </c>
    </row>
    <row r="8" spans="1:1" x14ac:dyDescent="0.35">
      <c r="A8" s="3" t="s">
        <v>1295</v>
      </c>
    </row>
    <row r="9" spans="1:1" x14ac:dyDescent="0.35">
      <c r="A9" s="3" t="s">
        <v>387</v>
      </c>
    </row>
    <row r="10" spans="1:1" x14ac:dyDescent="0.35">
      <c r="A10" s="3" t="s">
        <v>170</v>
      </c>
    </row>
    <row r="11" spans="1:1" x14ac:dyDescent="0.35">
      <c r="A11" s="3" t="s">
        <v>146</v>
      </c>
    </row>
    <row r="12" spans="1:1" x14ac:dyDescent="0.35">
      <c r="A12" s="3" t="s">
        <v>175</v>
      </c>
    </row>
    <row r="13" spans="1:1" x14ac:dyDescent="0.35">
      <c r="A13" s="3" t="s">
        <v>614</v>
      </c>
    </row>
    <row r="14" spans="1:1" x14ac:dyDescent="0.35">
      <c r="A14" s="3" t="s">
        <v>1311</v>
      </c>
    </row>
    <row r="15" spans="1:1" x14ac:dyDescent="0.35">
      <c r="A15" s="3" t="s">
        <v>184</v>
      </c>
    </row>
    <row r="16" spans="1:1" x14ac:dyDescent="0.35">
      <c r="A16" s="3" t="s">
        <v>826</v>
      </c>
    </row>
    <row r="17" spans="1:1" x14ac:dyDescent="0.35">
      <c r="A17" s="3" t="s">
        <v>1803</v>
      </c>
    </row>
    <row r="18" spans="1:1" x14ac:dyDescent="0.35">
      <c r="A18" s="3" t="s">
        <v>29</v>
      </c>
    </row>
    <row r="19" spans="1:1" x14ac:dyDescent="0.35">
      <c r="A19" s="3" t="s">
        <v>164</v>
      </c>
    </row>
    <row r="20" spans="1:1" x14ac:dyDescent="0.35">
      <c r="A20" s="3" t="s">
        <v>1569</v>
      </c>
    </row>
    <row r="21" spans="1:1" x14ac:dyDescent="0.35">
      <c r="A21" s="3" t="s">
        <v>124</v>
      </c>
    </row>
    <row r="22" spans="1:1" x14ac:dyDescent="0.35">
      <c r="A22" s="3" t="s">
        <v>591</v>
      </c>
    </row>
    <row r="23" spans="1:1" x14ac:dyDescent="0.35">
      <c r="A23" s="3" t="s">
        <v>1129</v>
      </c>
    </row>
    <row r="24" spans="1:1" x14ac:dyDescent="0.35">
      <c r="A24" s="3" t="s">
        <v>861</v>
      </c>
    </row>
    <row r="25" spans="1:1" x14ac:dyDescent="0.35">
      <c r="A25" s="3" t="s">
        <v>1773</v>
      </c>
    </row>
    <row r="26" spans="1:1" x14ac:dyDescent="0.35">
      <c r="A26" s="3" t="s">
        <v>717</v>
      </c>
    </row>
    <row r="27" spans="1:1" x14ac:dyDescent="0.35">
      <c r="A27" s="3" t="s">
        <v>587</v>
      </c>
    </row>
    <row r="28" spans="1:1" x14ac:dyDescent="0.35">
      <c r="A28" s="3" t="s">
        <v>102</v>
      </c>
    </row>
    <row r="29" spans="1:1" x14ac:dyDescent="0.35">
      <c r="A29" s="3" t="s">
        <v>715</v>
      </c>
    </row>
    <row r="30" spans="1:1" x14ac:dyDescent="0.35">
      <c r="A30" s="3" t="s">
        <v>1079</v>
      </c>
    </row>
    <row r="31" spans="1:1" x14ac:dyDescent="0.35">
      <c r="A31" s="3" t="s">
        <v>1503</v>
      </c>
    </row>
    <row r="32" spans="1:1" x14ac:dyDescent="0.35">
      <c r="A32" s="3" t="s">
        <v>40</v>
      </c>
    </row>
    <row r="33" spans="1:1" x14ac:dyDescent="0.35">
      <c r="A33" s="3" t="s">
        <v>96</v>
      </c>
    </row>
    <row r="34" spans="1:1" x14ac:dyDescent="0.35">
      <c r="A34" s="3" t="s">
        <v>1101</v>
      </c>
    </row>
    <row r="35" spans="1:1" x14ac:dyDescent="0.35">
      <c r="A35" s="3" t="s">
        <v>490</v>
      </c>
    </row>
    <row r="36" spans="1:1" x14ac:dyDescent="0.35">
      <c r="A36" s="3" t="s">
        <v>1534</v>
      </c>
    </row>
    <row r="37" spans="1:1" x14ac:dyDescent="0.35">
      <c r="A37" s="3" t="s">
        <v>735</v>
      </c>
    </row>
    <row r="38" spans="1:1" x14ac:dyDescent="0.35">
      <c r="A38" s="3" t="s">
        <v>1649</v>
      </c>
    </row>
    <row r="39" spans="1:1" x14ac:dyDescent="0.35">
      <c r="A39" s="3" t="s">
        <v>160</v>
      </c>
    </row>
    <row r="40" spans="1:1" x14ac:dyDescent="0.35">
      <c r="A40" s="3" t="s">
        <v>925</v>
      </c>
    </row>
    <row r="41" spans="1:1" x14ac:dyDescent="0.35">
      <c r="A41" s="3" t="s">
        <v>485</v>
      </c>
    </row>
    <row r="42" spans="1:1" x14ac:dyDescent="0.35">
      <c r="A42" s="3" t="s">
        <v>641</v>
      </c>
    </row>
    <row r="43" spans="1:1" x14ac:dyDescent="0.35">
      <c r="A43" s="3" t="s">
        <v>1241</v>
      </c>
    </row>
    <row r="44" spans="1:1" x14ac:dyDescent="0.35">
      <c r="A44" s="3" t="s">
        <v>104</v>
      </c>
    </row>
    <row r="45" spans="1:1" x14ac:dyDescent="0.35">
      <c r="A45" s="3" t="s">
        <v>241</v>
      </c>
    </row>
    <row r="46" spans="1:1" x14ac:dyDescent="0.35">
      <c r="A46" s="3" t="s">
        <v>822</v>
      </c>
    </row>
    <row r="47" spans="1:1" x14ac:dyDescent="0.35">
      <c r="A47" s="3" t="s">
        <v>339</v>
      </c>
    </row>
    <row r="48" spans="1:1" x14ac:dyDescent="0.35">
      <c r="A48" s="3" t="s">
        <v>580</v>
      </c>
    </row>
    <row r="49" spans="1:1" x14ac:dyDescent="0.35">
      <c r="A49" s="3" t="s">
        <v>348</v>
      </c>
    </row>
    <row r="50" spans="1:1" x14ac:dyDescent="0.35">
      <c r="A50" s="3" t="s">
        <v>224</v>
      </c>
    </row>
    <row r="51" spans="1:1" x14ac:dyDescent="0.35">
      <c r="A51" s="3" t="s">
        <v>605</v>
      </c>
    </row>
    <row r="52" spans="1:1" x14ac:dyDescent="0.35">
      <c r="A52" s="3" t="s">
        <v>429</v>
      </c>
    </row>
    <row r="53" spans="1:1" x14ac:dyDescent="0.35">
      <c r="A53" s="3" t="s">
        <v>943</v>
      </c>
    </row>
    <row r="54" spans="1:1" x14ac:dyDescent="0.35">
      <c r="A54" s="3" t="s">
        <v>558</v>
      </c>
    </row>
    <row r="55" spans="1:1" x14ac:dyDescent="0.35">
      <c r="A55" s="3" t="s">
        <v>1337</v>
      </c>
    </row>
    <row r="56" spans="1:1" x14ac:dyDescent="0.35">
      <c r="A56" s="3" t="s">
        <v>310</v>
      </c>
    </row>
    <row r="57" spans="1:1" x14ac:dyDescent="0.35">
      <c r="A57" s="3" t="s">
        <v>173</v>
      </c>
    </row>
    <row r="58" spans="1:1" x14ac:dyDescent="0.35">
      <c r="A58" s="3" t="s">
        <v>650</v>
      </c>
    </row>
    <row r="59" spans="1:1" x14ac:dyDescent="0.35">
      <c r="A59" s="3" t="s">
        <v>84</v>
      </c>
    </row>
    <row r="60" spans="1:1" x14ac:dyDescent="0.35">
      <c r="A60" s="3" t="s">
        <v>815</v>
      </c>
    </row>
    <row r="61" spans="1:1" x14ac:dyDescent="0.35">
      <c r="A61" s="3" t="s">
        <v>215</v>
      </c>
    </row>
    <row r="62" spans="1:1" x14ac:dyDescent="0.35">
      <c r="A62" s="3" t="s">
        <v>937</v>
      </c>
    </row>
    <row r="63" spans="1:1" x14ac:dyDescent="0.35">
      <c r="A63" s="3" t="s">
        <v>369</v>
      </c>
    </row>
    <row r="64" spans="1:1" x14ac:dyDescent="0.35">
      <c r="A64" s="3" t="s">
        <v>364</v>
      </c>
    </row>
    <row r="728" spans="1:1" x14ac:dyDescent="0.35">
      <c r="A728" s="1" t="s">
        <v>1819</v>
      </c>
    </row>
    <row r="729" spans="1:1" x14ac:dyDescent="0.35">
      <c r="A729" s="2" t="s">
        <v>1807</v>
      </c>
    </row>
    <row r="730" spans="1:1" x14ac:dyDescent="0.35">
      <c r="A730" s="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Books_Data_Clean</vt:lpstr>
      <vt:lpstr>Supporting_pivot</vt:lpstr>
      <vt:lpstr>Dashboard</vt:lpstr>
      <vt:lpstr>unique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Widya Puspitasari</dc:creator>
  <cp:lastModifiedBy>Widya Puspitasari</cp:lastModifiedBy>
  <dcterms:created xsi:type="dcterms:W3CDTF">2026-07-27T20:26:23Z</dcterms:created>
  <dcterms:modified xsi:type="dcterms:W3CDTF">2026-08-16T20:04:36Z</dcterms:modified>
</cp:coreProperties>
</file>